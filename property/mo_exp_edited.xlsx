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idbe\PycharmProjects\phd\projects\opsin_analysis\property\"/>
    </mc:Choice>
  </mc:AlternateContent>
  <xr:revisionPtr revIDLastSave="0" documentId="8_{9254BA54-48A4-4D5C-803E-326D61D8C8C6}" xr6:coauthVersionLast="47" xr6:coauthVersionMax="47" xr10:uidLastSave="{00000000-0000-0000-0000-000000000000}"/>
  <bookViews>
    <workbookView xWindow="20" yWindow="740" windowWidth="25580" windowHeight="15260" activeTab="1" xr2:uid="{00000000-000D-0000-FFFF-FFFF00000000}"/>
  </bookViews>
  <sheets>
    <sheet name="Excluded" sheetId="3" r:id="rId1"/>
    <sheet name="mo_exp_identity_UTedited6" sheetId="1" r:id="rId2"/>
    <sheet name="statics" sheetId="2" r:id="rId3"/>
  </sheets>
  <definedNames>
    <definedName name="_xlnm._FilterDatabase" localSheetId="0" hidden="1">Excluded!$A$1:$AB$181</definedName>
    <definedName name="_xlnm._FilterDatabase" localSheetId="1" hidden="1">mo_exp_identity_UTedited6!$A$1:$AB$183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2" i="2"/>
  <c r="C2" i="2"/>
  <c r="F7" i="2" l="1"/>
  <c r="I16" i="2"/>
</calcChain>
</file>

<file path=xl/sharedStrings.xml><?xml version="1.0" encoding="utf-8"?>
<sst xmlns="http://schemas.openxmlformats.org/spreadsheetml/2006/main" count="5448" uniqueCount="1277">
  <si>
    <t>other name</t>
  </si>
  <si>
    <t>source (species)</t>
  </si>
  <si>
    <t>Rhodopsin Type (Microbial)</t>
  </si>
  <si>
    <t>molecular_function</t>
  </si>
  <si>
    <t>PDB ID</t>
  </si>
  <si>
    <t>method</t>
  </si>
  <si>
    <t>resolution</t>
  </si>
  <si>
    <t>reference</t>
  </si>
  <si>
    <t>sequence</t>
  </si>
  <si>
    <t>pdb_id</t>
  </si>
  <si>
    <t>opsin name</t>
  </si>
  <si>
    <t>structure_sequence</t>
  </si>
  <si>
    <t>uniprot_id</t>
  </si>
  <si>
    <t>length</t>
  </si>
  <si>
    <t>seq</t>
  </si>
  <si>
    <t>end</t>
  </si>
  <si>
    <t>start</t>
  </si>
  <si>
    <t>name</t>
  </si>
  <si>
    <t>protein</t>
  </si>
  <si>
    <t>protein_id</t>
  </si>
  <si>
    <t>experimentally_determined</t>
  </si>
  <si>
    <t>display_name</t>
  </si>
  <si>
    <t>short_name</t>
  </si>
  <si>
    <t>molecular_function_normalized</t>
  </si>
  <si>
    <t>full_protein</t>
  </si>
  <si>
    <t>Blue Proteorhodopsin</t>
  </si>
  <si>
    <t>BPR</t>
  </si>
  <si>
    <t>Uncultured marine bacteria (labeled 'Blue')</t>
  </si>
  <si>
    <t>Bacteria</t>
  </si>
  <si>
    <t>outward proton pump</t>
  </si>
  <si>
    <t>MGKLLLILGSAIALPSFAAAGGDLDISDTVGVSFWLVTAGMLAATVFFFVERDQVSAKWKTSLTVSGLITGIAFWHYLYMRGVWIDTGDTPTVFRYIDWLLTVPLQVVEFYLILAACTSVAASLFKKLLAGSLVMLGAGFAGEAGLAPVLPAFIIGMAGWLYMIYELYMGEGKAAVSTASPAVNSAYNAMMMIIVVGWAIYPAGYAAGYLMGGEGVYASNLNLIYNLADFVNKILFGLIIWNVAVKESSNA</t>
  </si>
  <si>
    <t>4KLY</t>
  </si>
  <si>
    <t>GDLDISDTVGVSFWLVTAGLAATVFFFVERDQVSAKWKTSLTVSGLITGIAFWHYLYRGVWIDTGDTPTVFRYINWLLTVPLQVVEFYLILAACTSVAASLFKKLLAGSLVLGAGFAGEAGLAPVLPAFIIGAGWLYIYELYGEGKAAVSTASPAVNSAYNAIIVVGWAIYPAGYAAGYLVYASNLNLIYNLADFVNKILFGLIIWNVAVKESSNALEHHH</t>
  </si>
  <si>
    <t>Q9AFF7</t>
  </si>
  <si>
    <t>221.0</t>
  </si>
  <si>
    <t>Blue_Proteorhodopsin</t>
  </si>
  <si>
    <t>Ob26394f0f</t>
  </si>
  <si>
    <t>Proton pump</t>
  </si>
  <si>
    <t>Blue_Proteorhodopsin_Uncultured marine bacteria (labeled 'Blue')</t>
  </si>
  <si>
    <t>Chlamydomonas reinhardtii Channelrhodopsin-1</t>
  </si>
  <si>
    <t>CrChR1</t>
  </si>
  <si>
    <t>Chlamydomonas reinhardtii</t>
  </si>
  <si>
    <t>Eukaryota</t>
  </si>
  <si>
    <t>MSRRPWLLALALAVALAAGSAGASTGSDATVPVATQDGPDYVFHRAHERMLFQTSYTLENNGSVICIPNNGQCFCLAWLKSNGTNAEKLAANILQWITFALSALCLMFYGYQTWKSTCGWEEIYVATIEMIKFIIEYFHEFDEPAVIYSSNGNKTVWLRYAEWLLTCPVILIHLSNLTGLANDYNKRTMGLLVSDIGTIVWGTTAALSKGYVRVIFFLMGLCYGIYTFFNAAKVYIEAYHTVPKGICRDLVRYLAWLYFCSWAMFPVLFLLGPEGFGHINQFNSAIAHAILDLASKNAWSMMGHFLRVKIHEHILLYGDIRKKQKVNVAGQEMEVETMVHEEDDETQKVPTAKYANRDSFIIMRDRLKEKGFETRASLDGDPNGDAEANAAAGGKPGMEMGKMTGMGMGMGAGMGMATIDSGRVILAVPDISMVDFFREQFARLPVPYELVPALGAENTLQLVQQAQSLGGCDFVLMHPEFLRDRSPTGLLPRLKMGGQRAAAFGWAAIGPMRDLIEGSGVDGWLEGPSFGAGINQQALVALINRMQQAKKMGMMGGMGMGMGGGMGMGMGMGMGMAPSMNAGMTGGMGGASMGGAVMGMGMGMQPMQQAMPAMSPMMTQQPSMMSQPSAMSAGGAMQAMGGVMPSPAPGGRVGTNPLFGSAPSPLSSQPGISPGMATPPAATAAPAAGGSEAEMLQQLMSEINRLKNELGE</t>
  </si>
  <si>
    <t>3UG9</t>
  </si>
  <si>
    <t>RMLFQTSYTLENNGSVICIPNNGQCFCLAWLKSNGTNAEKLAANILQWITFALSALCLMFYCGWEEIYVATIEMIKFIIEYFHEFDEPAVIYSSNGNKTVWLRYAEWLLTCPVILIHLSNLTGLANDYNKRTMGLLVSDIGTIVWGTTAALSKGYVRVIFFLMGLCYGIYTFFNAAKVYIEAYHTVPKGRCRQVVTGMAWLFFVSWGMFPILFILGPEGFGVLSVYGSTVGHTIIDLMSKNCWGLLGHYLRVLIHEHILIHGDIRKTTKLIEVETLVEDE</t>
  </si>
  <si>
    <t>Q93WP2,Q8RUT8</t>
  </si>
  <si>
    <t>280.0</t>
  </si>
  <si>
    <t>Chlamydomonas_reinhardtii_Channelrhodopsin_1</t>
  </si>
  <si>
    <t>O5537c97da</t>
  </si>
  <si>
    <t>Cation channel</t>
  </si>
  <si>
    <t>Chlamydomonas_reinhardtii_Channelrhodopsin_1_Chlamydomonas reinhardtii</t>
  </si>
  <si>
    <t>Cyanorhodopsin</t>
  </si>
  <si>
    <t>CyR</t>
  </si>
  <si>
    <t>Cyanobacteria (unspecified)</t>
  </si>
  <si>
    <t>6LM0</t>
  </si>
  <si>
    <t>SGMTQFWLWVGFIGMVIGCIYFGMKASAMRRREGMEFPLESFFITLWAAALYLTMILGETVTPINGQTVFWGRYIDWVVTTPLLLMELGVIAGLRPKLIAGVMGADIFMIVTGFIGAVEAPPYNYLWWLISTGSFLAILGSLLTEYSASAKRRNGRINSLFQTLRNILIVLWICYPIVWILGAEGFHVISVGWETLCYSVLDVCAKVGFGFVVVSAGNETLAQASNSDRIMETVHSYMQSEE</t>
  </si>
  <si>
    <t>A0A1Z4FUT4</t>
  </si>
  <si>
    <t>242.0</t>
  </si>
  <si>
    <t>Oba67b967a</t>
  </si>
  <si>
    <t>Cyanorhodopsin_Cyanobacteria (unspecified)</t>
  </si>
  <si>
    <t>Fulvimarina pelagi Chloride pump</t>
  </si>
  <si>
    <t>FR</t>
  </si>
  <si>
    <t>Fulvimarina pelagi</t>
  </si>
  <si>
    <t>MQDTELFADQLGNIENLVSLTVGQYTMGSLILMVSYGAHFAFVLYFLMTSLQLAPRYRIVPIMSAIVMVSAGLSLLREFNAWEQSYEFVEGMYQPLAENSTFTNAYRYGNWTITVPILLTQLPLAFGLLRPELHVRAARMCIPALLMIWTGLVGQFGETGNYLRLNVWGVISTIFFVWLIIEVRGVISRAIAMGPAELAAWPKNIWWFFLAFWGLYPIAYALPQLGHTGDIVVIRQLLYSIADVFSKLVYGIILSRYVLRRSALEGYKPAIEALSRTPVDLSMSKNGGAGYGDGDR</t>
  </si>
  <si>
    <t>296.0</t>
  </si>
  <si>
    <t>Fulvimarina_pelagi_Chloride_pump</t>
  </si>
  <si>
    <t>Of45b61cb1</t>
  </si>
  <si>
    <t>Chloride pump</t>
  </si>
  <si>
    <t>Fulvimarina_pelagi_Chloride_pump_Fulvimarina pelagi</t>
  </si>
  <si>
    <t>Green Proteorhodopsin</t>
  </si>
  <si>
    <t>GPR</t>
  </si>
  <si>
    <t>Marine proteobacteria (labeled 'Green')</t>
  </si>
  <si>
    <t>MKLLLILGSVIALPTFAAGGGDLDASDYTGVSFWLVTAALLASTVFFFVERDRVSAKWKTSLTVSGLVTGIAFWHYMYMRGVWIETGDSPTVFRYIDWLLTVPLLICEFYLILAAATNVAGSLFKKLLVGSLVMLVFGYMGEAGIMAAWPAFIIGCLAWVYMIYELWAGEGKSACNTASPAVQSAYNTMMYIIIFGWAIYPVGYFTGYLMGDGGSALNLNLIYNLADFVNKILFGLIIWNVAVKESSNA</t>
  </si>
  <si>
    <t>MGGGDLDASDYTGVSFWLVTAALLASTVFFFVERDRVSAKWKTSLTVSGLVTGIAFWHYMYMRGVWIETGDSPTVFRYIDWLLTVPLLICEFYLILAAATNVAGSLFKKLLVGSLVMLVFGYMGEAGIMAAWPAFIIGCLAWVYMIYELWAGEGKSACNTASPAVQSAYNTMMYIIIFGWAIYPVGYFTGYLMGDGGSALNLNLIYNLADFVNKILFGLIIWNVAVKESSNAPGG</t>
  </si>
  <si>
    <t>Q9F7P4</t>
  </si>
  <si>
    <t>235.0</t>
  </si>
  <si>
    <t>Green_Proteorhodopsin</t>
  </si>
  <si>
    <t>O7b6459cd7</t>
  </si>
  <si>
    <t>Green_Proteorhodopsin_Marine proteobacteria (labeled 'Green')</t>
  </si>
  <si>
    <t>Guillardia theta Anion Channelrhodopsin-2</t>
  </si>
  <si>
    <t>GtACR2</t>
  </si>
  <si>
    <t>Guillardia theta</t>
  </si>
  <si>
    <t>MASQVVYGEWASTHTECYNMSRIDSTFVSLLQLVWAVVSGCQTIFMISRAPKVPWESVYLPFVESITYALASTGNGTLQMRDGRFFPWSRMASWLCTCPIMLGQISNMALVKYKSIPLNPIAQAASIIRVVMGITATISPAEYMKWLFFFFGATCLVFEYSVVFTIFQVGLYGFESVGTPLAQKVVVRIKMLRLIFFIAWTMFPIVWLISPTGVCVIHENVSAILYLLADGLCKNTYGVILWSTAWGVLEGKWDPACLPGQEKPEADDPFGLNHEKNAPPNDEVNIRMFGR</t>
  </si>
  <si>
    <t>291.0</t>
  </si>
  <si>
    <t>Guillardia_theta_Anion_Channelrhodopsin_2</t>
  </si>
  <si>
    <t>O9d96fda5e</t>
  </si>
  <si>
    <t>Anion channel</t>
  </si>
  <si>
    <t>Guillardia_theta_Anion_Channelrhodopsin_2_Guillardia theta</t>
  </si>
  <si>
    <t>Haloarcula marismortui Bacteriorhodopsin I</t>
  </si>
  <si>
    <t>HmBRI</t>
  </si>
  <si>
    <t>Haloarcula marismortui</t>
  </si>
  <si>
    <t>Archaea</t>
  </si>
  <si>
    <t>MPAPGSEGIWLWLGTAGMFLGMLYFIARGWGETDGRRQKFYIATILITAIAFVNYLAMALGFGLTFIEFGGEQHPIYWARYTDWLFTTPLLLYDLGLLAGADRNTIYSLVSLDVLMIGTGVVATLSAGSGVLSAGAERLVWWGISTAFLLVLLYFLFSSLSGRVANLPSDTRSTFKTLRNLVTVVWLVYPVWWLVGSEGLGLVGIGIETAGFMVIDLVAKVGFGIILLRSHGVLDGAAETTGTGATPADD</t>
  </si>
  <si>
    <t>4PXK</t>
  </si>
  <si>
    <t>APGSEGIWLWLGTAGMFLGMLYFIARGWGETDGRRQKFYIATILITAIAFVNYLAMALGFGLTFIEFGGEQHPIYWARYTDWLFTTPLLLYNLGLLAGADRNTIYSLVSLDVLMIGTGVVATLSAGSGVLSAGAERLVWWGISTAFLLVLLYFLFSSLSGRVANLPSDTRSTFKTLRNLVTVVWLVYPVWWLVGSEGLGLVGIGIETAGFMVIDLVAKVGFGIILLRSHGVLDGAA</t>
  </si>
  <si>
    <t>Q5UXY6</t>
  </si>
  <si>
    <t>236.0</t>
  </si>
  <si>
    <t>Haloarcula_marismortui_Bacteriorhodopsin_I</t>
  </si>
  <si>
    <t>Ob81194c9e</t>
  </si>
  <si>
    <t>Haloarcula_marismortui_Bacteriorhodopsin_I_Haloarcula marismortui</t>
  </si>
  <si>
    <t>Haloarcula marismortui Bacteriorhodopsin II</t>
  </si>
  <si>
    <t>HmBRII</t>
  </si>
  <si>
    <t>MLPLQVSSLGVEGEGIWLALGTVGMLLGMVYFMAKGWDVQDPEQEEFYVITILIAGIAASSYLSMFFGFGLTEVELVNGRVIDVYWARYADWLFTTPLLLLDIGLLAGASNRDMASLITIDAFMIVTGLAATLMKVPVARYAFWTISTIAMLFVLYYLVVVVGEAASDASEEAQSTFNVLRNIILVAWAIYPVAWLVGTEGLGLVGLFGETLLFMILDLTAKIGFGFILLRSRAIVGGDSAPTPSAEAAD</t>
  </si>
  <si>
    <t>250.0</t>
  </si>
  <si>
    <t>Haloarcula_marismortui_Bacteriorhodopsin_II</t>
  </si>
  <si>
    <t>Ob946aa20c</t>
  </si>
  <si>
    <t>Haloarcula_marismortui_Bacteriorhodopsin_II_Haloarcula marismortui</t>
  </si>
  <si>
    <t>Haloarcula marismortui Halorhodopsin</t>
  </si>
  <si>
    <t>HmHR</t>
  </si>
  <si>
    <t>inward chloride pump</t>
  </si>
  <si>
    <t>MTAASTTATTVLQATQSDVLQEIQSNFLLNSSIWVNIALAGVVILLFVAMGRDLESPRAKLIWVATMLVPLVSISSYAGLASGLTVGFLQMPPGHALAGQEVLSPWGRYLTWTFSTPMILLALGLLADTDIASLFTAITMDIGMCVTGLAAALITSSHLLRWVFYGISCAFFVAVLYVLLVQWPADAEAAGTSEIFGTLKILTVVLWLGYPILWALGSEGVALLSVGVTSWGYSGLDILAKYVFAFLLLRWVAANEGTVSGSGMGIGSGGATPADD</t>
  </si>
  <si>
    <t>276.0</t>
  </si>
  <si>
    <t>Haloarcula_marismortui_Halorhodopsin</t>
  </si>
  <si>
    <t>O017a1ade5</t>
  </si>
  <si>
    <t>Haloarcula_marismortui_Halorhodopsin_Haloarcula marismortui</t>
  </si>
  <si>
    <t>Haloarcula marismortui Sensory Rhodopsin I</t>
  </si>
  <si>
    <t>HmSRI</t>
  </si>
  <si>
    <t>MDAVSVVYGITAAGFAVGVAIVGFLYASLEGSDERPILAALALIPGVAGISYVAMVFGIGTVTIGETTLVGFRYLDWVVTTPLLVGFIGYTAGASRRAIFGVMAADALMILAGVGAVVAAGTLKWALFGVSAVFHISLFAYLYLIFPRSVPDDPQRIGLFSLLKNHVGLLWIAYPLVWLAGPEGLGFATYVGVSITYAFLDLLAKVPYVYFFYARRQVFATKLLRDSGDTTVTPAD</t>
  </si>
  <si>
    <t>Haloarcula_marismortui_Sensory_Rhodopsin_I</t>
  </si>
  <si>
    <t>O132494edf</t>
  </si>
  <si>
    <t>Phototaxis</t>
  </si>
  <si>
    <t>Haloarcula_marismortui_Sensory_Rhodopsin_I_Haloarcula marismortui</t>
  </si>
  <si>
    <t>Haloarcula marismortui Sensory Rhodopsin II</t>
  </si>
  <si>
    <t>HmSRII</t>
  </si>
  <si>
    <t>MATITTWFTLGLLGELLGTAVLAYGYTLVPEETRKRYLLLIAIPGIAIVAYALMALGFGSIQSEGHAVYVVRYVDWLLTTPLNVWFLALLAGASREDTVKLVVLQALTIVFGFAGAVTPSPVSYALFAVGGALFGGVIYLLYRNIAVAAKSTLSDIEVSLYRTLRNFVVVLWLVYPVVWLLGAAGVGLMDVETATLVVVYLDVVTKVGFGVIALLAMIDLGSAGETAEEPTAVAGD</t>
  </si>
  <si>
    <t>Haloarcula_marismortui_Sensory_Rhodopsin_II</t>
  </si>
  <si>
    <t>O91af35bb0</t>
  </si>
  <si>
    <t>Haloarcula_marismortui_Sensory_Rhodopsin_II_Haloarcula marismortui</t>
  </si>
  <si>
    <t>Haloarcula marismortui Sensory Rhodopsin III</t>
  </si>
  <si>
    <t>HmSRIII</t>
  </si>
  <si>
    <t>MAQEIVWYGAGAGAFFVSAVVFVWFAATRGNIRSSFYYLPPIHTSVAGAAYVAMALIAGGQLGDTVSITTLRFADWIVSTPIITYYLARLAGVDTQTRRLAVAANVVMIGVGYGFVSMSGSLRWIAFAVSTVAFIGLLYLYIKTFARKINAATASVRSLFQSLRDLTVVTWSLYPVVYFLGPLGTGIIQAPDLNFLVAVLDTIAKVGFMSILLVRYNSVETFVDSWSVAPAK</t>
  </si>
  <si>
    <t>232.0</t>
  </si>
  <si>
    <t>Haloarcula_marismortui_Sensory_Rhodopsin_III</t>
  </si>
  <si>
    <t>O9aaaef0fd</t>
  </si>
  <si>
    <t>Haloarcula_marismortui_Sensory_Rhodopsin_III_Haloarcula marismortui</t>
  </si>
  <si>
    <t>Halobacterium salinarum Sensory Rhodopsin I</t>
  </si>
  <si>
    <t>HsSRI</t>
  </si>
  <si>
    <t>Halobacterium salinarum</t>
  </si>
  <si>
    <t>MDAVATAYLGGAVALIVGVAFVWLLYRSLDGSPHQSALAPLAIIPVFAGLSYVGMAYDIGTVIVNGNQIVGLRYIDWLVTTPILVGYVGYAAGASRRSIIGVMVADALMIAVGAGAVVTDGTLKWALFGVSSIFHLSLFAYLYVIFPRVVPDVPEQIGLFNLLKNHIGLLWLAYPLVWLFGPAGIGEATAAGVALTYVFLDVLAKVPYVYFFYARRRVFMHSESPPAPEQATVEATAAD</t>
  </si>
  <si>
    <t>239.0</t>
  </si>
  <si>
    <t>Halobacterium_salinarum_Sensory_Rhodopsin_I</t>
  </si>
  <si>
    <t>O67713bee1</t>
  </si>
  <si>
    <t>Halobacterium_salinarum_Sensory_Rhodopsin_I_Halobacterium salinarum</t>
  </si>
  <si>
    <t>Halorubrum xinjiangense Archaerhodopsin</t>
  </si>
  <si>
    <t>HxAR</t>
  </si>
  <si>
    <t>Halorubrum xinjiangense</t>
  </si>
  <si>
    <t>MDPIALQAGYDLLGDGRPETLWLGIGTLLMLIGTFYFIVKGWGVTDKEAREYYSITILVPGIASAAYLSMFFGIGLTEVQVGSEMLDIYYARYADWLFTTPLLLLDLALLAKVDRVSIGTLVGVDALMIVTGLIGALSHTPLARYTWWLFSTICMIVVLYFLATSLRAAAKERGPEVASTFNTLTALVLVLWTAYPILWIVGTEGAGVVGLGIETLLFMVLDVTAKVGFGFILLRSRAILGDTQAPEPSAGADAQAAD</t>
  </si>
  <si>
    <t>258.0</t>
  </si>
  <si>
    <t>Halorubrum_xinjiangense_Archaerhodopsin</t>
  </si>
  <si>
    <t>O272ca584d</t>
  </si>
  <si>
    <t>Halorubrum_xinjiangense_Archaerhodopsin_Halorubrum xinjiangense</t>
  </si>
  <si>
    <t>Krokinobacter Rhodopsin-1</t>
  </si>
  <si>
    <t>KR1</t>
  </si>
  <si>
    <t>MKFLLLLLADPTKLDPSDYVGFTFFVGAMAMMAASAFFFLSLNQFNKKWRTSVLVSGLITFIAAVHYWYMRDYWFAIQESPTFFRYVDWVLTVPLMCVEFYLILKVAGAKPALMWKLILFSVIMLVTGYFGEAVFQDQAALWGAISGAAYFYIVYEIWLGSAKKLAVAAGGDILKAHKILCWFVLVGWAIYPLGYMLGTDGWYTSILGKGSVDVAYNIADAINKIGFGLVIYALAVKKNEVDVV</t>
  </si>
  <si>
    <t>244.0</t>
  </si>
  <si>
    <t>Krokinobacter_Rhodopsin_1</t>
  </si>
  <si>
    <t>O24730b7f1</t>
  </si>
  <si>
    <t>Krokinobacter_Rhodopsin_1_Krokinobacter</t>
  </si>
  <si>
    <t>Medarhodopsin-12</t>
  </si>
  <si>
    <t>Med12</t>
  </si>
  <si>
    <t>Halobacterium (unspecified)</t>
  </si>
  <si>
    <t>4JQ6</t>
  </si>
  <si>
    <t>DYVGISFWLAAAIMLASTVFFFVERSDVPVKWKTSLTVAGLVTGVAFWHYLYMRGVWIYAGETPTVFRYIDWLITVPLQIIEFYLIIAAAVFWKLLIASLVMLIGGFIGEAGLGDVVVWWIVGMIAWLYIIYEIFLGAASQQAFNTIKWIVTVGWAIYPIGYAWGYFGDGLNEDALNIVYNLADLINKAAFGLAIWAAAMKDK</t>
  </si>
  <si>
    <t>Q4PP54</t>
  </si>
  <si>
    <t>203.0</t>
  </si>
  <si>
    <t>Medarhodopsin_12</t>
  </si>
  <si>
    <t>Od8d044f37</t>
  </si>
  <si>
    <t>Medarhodopsin_12_Halobacterium (unspecified)</t>
  </si>
  <si>
    <t>Neurospora Rhodopsin</t>
  </si>
  <si>
    <t>NR</t>
  </si>
  <si>
    <t>MIHPEQVADMLRPTTSTTSSHVPGPVPTVVPTPTEYQTLGETGHRTLWVTFALMVLSSGIFALLSWNVPTSKRLFHVITTLITVVASLSYFAMATGHATTFNCDTAWDHHKHVPDTSHQVCRQVFWGRYVDWALTTPLLLLELCLLAGVDGAHTLMAIVADVIMVLCGLFAALGEGGNTAQKWGWYTIGCFSYLFVIWHVALHGSRTVTAKGRGVSRLFTGLAVFALLLWTAYPIIWGIAGGARRTNVDTEILIYTVLDLLAKPVFGFWLLLSHRAMPETNIDLPGYWSHGLATEGRIRIGEED</t>
  </si>
  <si>
    <t>304.0</t>
  </si>
  <si>
    <t>Neurospora_Rhodopsin</t>
  </si>
  <si>
    <t>Oa33e502bd</t>
  </si>
  <si>
    <t>Neurospora_Rhodopsin_Neurospora</t>
  </si>
  <si>
    <t>Nonlabens dokdonensis Rhodopsin-1</t>
  </si>
  <si>
    <t>NdR1</t>
  </si>
  <si>
    <t>Nonlabens dokdonensis</t>
  </si>
  <si>
    <t>MNFLLSTLEVAKMATDDYVGFTFFIGSMAMMAASAFFFLSLSQFDNKWRTSVLVSGLITFIAAVHYFYMRDYYAATDSSPTFFRYVDWTLTVPLMCVEFYLILKVAGAKLGLMWKLIFWSVVMLVTGYFGEVIALGNPTMQWVWGLVSGIAYFIIVYMIWFGEAKKLATSAGGAVLKAHNILCWFVLVGWAIYPLGYILGTEGGLFGLQLVEDPKAAQEAMDVVYNIGDAINKIGFGLVIYSLAVTSSKKVEA</t>
  </si>
  <si>
    <t>253.0</t>
  </si>
  <si>
    <t>Nonlabens_dokdonensis_Rhodopsin_1</t>
  </si>
  <si>
    <t>O0c174de93</t>
  </si>
  <si>
    <t>Nonlabens_dokdonensis_Rhodopsin_1_Nonlabens dokdonensis</t>
  </si>
  <si>
    <t>Nonlabens dokdonensis Rhodopsin-2</t>
  </si>
  <si>
    <t>NdR2</t>
  </si>
  <si>
    <t>Light-driven proton transport</t>
  </si>
  <si>
    <t>MIQDLGNSNFENYVGATDGFSEMAYQMTSHVLTLGYAVMFAGLLYFILTIKNVDKKYRMSNILSAVVMVSAALLLYAQAGNWTESFAFDAERGKYFLVEGGDLFNNGYRYLNWLIDVPMLLFQILFVVQLTKSKLSSVRNQFWFSGAMMIITGYIGQYYEVTDLSAFFIWGAISTVFFFHILWLMNKVIKEGKVGIPKKGQKILSNIWILFLVSWFLYPGAYLMPHLGGIEGFLFNESGVVGRQITYTIADVCSKVIYGVLLGNLALVLSKNKEMIETA</t>
  </si>
  <si>
    <t>279.0</t>
  </si>
  <si>
    <t>Nonlabens_dokdonensis_Rhodopsin_2</t>
  </si>
  <si>
    <t>O82bd83f12</t>
  </si>
  <si>
    <t>Nonlabens_dokdonensis_Rhodopsin_2_Nonlabens dokdonensis</t>
  </si>
  <si>
    <t>Nonlabens marinus Sodium Rhodopsin</t>
  </si>
  <si>
    <t>NmNaR</t>
  </si>
  <si>
    <t>Nonlabens marinus</t>
  </si>
  <si>
    <t>MQQLGNSNFENYIGASEGFSEMAYQMTSHVLTLGYAVMLAGLLYFILTIKKVDKRFQMSNILSAVVMVSAFLLLYAQAGNWTSSFTFDIELGRYFLDPDGDLFNNGYRYLNWLIDVPMLLFQILFVVTLTKSKLSSIRNQFWFSGTMMIITGYIGQFYEVSDITWFLIWGAISTVFFFHILYLMKKVINEGKEGISTKGQKILSNIWILFLISWFLYPGAYLMPYLGGIDGFLYNESGVVGRQITYTIADVCSKVIYGVLLGNLAMTLSTKNKNEHKPA</t>
  </si>
  <si>
    <t>Nonlabens_marinus_Sodium_Rhodopsin</t>
  </si>
  <si>
    <t>Oee869d2c8</t>
  </si>
  <si>
    <t>Sodium pump</t>
  </si>
  <si>
    <t>Nonlabens_marinus_Sodium_Rhodopsin_Nonlabens marinus</t>
  </si>
  <si>
    <t>Nonlabens marinus Proteorhodopsin</t>
  </si>
  <si>
    <t>NmPR</t>
  </si>
  <si>
    <t>Nonlabens_marinus_Proteorhodopsin</t>
  </si>
  <si>
    <t>O9f21d8ceb</t>
  </si>
  <si>
    <t>Nonlabens_marinus_Proteorhodopsin_Nonlabens marinus</t>
  </si>
  <si>
    <t>Phaeosphaeria Rhodopsin-1</t>
  </si>
  <si>
    <t>PhaeoRD1</t>
  </si>
  <si>
    <t>Phaeosphaeria</t>
  </si>
  <si>
    <t>MRALLLSDVFLLLATLACLGLVICDALTFKAGAMSNFTNPTTPILKVSVTTVESFLVRTDTLQVRFATNYIFDVGLYFPKFSILAFYFMIIPVTAPDTRKALYAVTCFVALSTLVTFFADTFWCGPDPSVNWSMKGGNCTVFTAMTLVKLNWSLNIISEVLIFVLPLPIIRNLKIPRKRERAGLLILFTLGAITIAVSAARFFAMLIVSNNIAIYILATTEFTVSIMIPSLISLRPLLRKIHKWTSSGHSDSPFSRGNHTGVTSGKRKPGNSSVPKLKGSHAIYSKGNARNLYGSEVELTEHEPTKIYKTEEISVTSTRDPQLGDEDNTS</t>
  </si>
  <si>
    <t>330.0</t>
  </si>
  <si>
    <t>Phaeosphaeria_Rhodopsin_1</t>
  </si>
  <si>
    <t>O60dc6340f</t>
  </si>
  <si>
    <t>Phaeosphaeria_Rhodopsin_1_Phaeosphaeria</t>
  </si>
  <si>
    <t>Phaeosphaeria Rhodopsin-2</t>
  </si>
  <si>
    <t>PhaeoRD2</t>
  </si>
  <si>
    <t>MLAGILFYIAEYFYAVSAAFIKISVAVTLLRIAVGRPVLKGVIWGLIALTVIAALVFVVGIANICHPIETLWGMANGKCNLQLNTDVSLFFSAIEILTDFSLSLLPAVLLWNVQMVCADETRYTRDPHIALEENTDCEQKGKVKGSVAVMLALASFASCATIIRLKFLTLYSDPGEFIYGTGKIGFWSLTEEGIGIIAGSLPALRPLLNLRIRITTTSNNTPAASNAHFEASRGKQPSSRAPIKMDTFQTLGENDFDHSDGDSQKNIIKETRYTVTSTQLQPKQSYDMGWDDKRPDHVSHV</t>
  </si>
  <si>
    <t>301.0</t>
  </si>
  <si>
    <t>Phaeosphaeria_Rhodopsin_2</t>
  </si>
  <si>
    <t>O42cb98819</t>
  </si>
  <si>
    <t>Phaeosphaeria_Rhodopsin_2_Phaeosphaeria</t>
  </si>
  <si>
    <t>Platymonas subcordiformis Channelrhodopsin-2</t>
  </si>
  <si>
    <t>PsChR2</t>
  </si>
  <si>
    <t>Platymonas subcordiformis</t>
  </si>
  <si>
    <t>GTNGAQTASNVLQWQLAAGFSILLLMFYAYQTWKSTCGWEEIYVCAIEMVKVILEFFFEFKNPSMLYLATGHRVQWLRYAEWLLTCPVILIHLSNLTGLSNDDSSRTMGLLACSIGTIVWGATSAMASGYVKVIFFCLGVYCANTFYRAQAYIKGYHTVPKGRCRQVVTGMAWLFFVSWGMFPILFILGPEGFGVLSVYGSTVGHTIIDPMSKNRCGLPGHYPRVLV</t>
  </si>
  <si>
    <t>227.0</t>
  </si>
  <si>
    <t>Platymonas_subcordiformis_Channelrhodopsin_2</t>
  </si>
  <si>
    <t>O652bc686a</t>
  </si>
  <si>
    <t>Platymonas_subcordiformis_Channelrhodopsin_2_Platymonas subcordiformis</t>
  </si>
  <si>
    <t>Salinibacter ruber Sensory Rhodopsin I</t>
  </si>
  <si>
    <t>SrSRI</t>
  </si>
  <si>
    <t>Salinibacter ruber</t>
  </si>
  <si>
    <t>MDPITIVYIIGTLGMLVGIPPALSLVGDEVGLDFDYLWAIPGIAALMYLLMTFDVGSVQFQGYHVPIPRYIDWALTTPLLVGYTAYIAGASRGMIAGTALADFMMIVFGLGAVVFSSTAQWVFFGLSSACHLTLLAFLYGPVRNSAFGEPPSHRRLARLLLNYVGLLWLAYPMVWLFGPGLQWVDAAGIAVIISYLDVTAKVPFIYFIYRARKNFVKVTGGEPETASGQGGAATVTSAA</t>
  </si>
  <si>
    <t>Salinibacter_ruber_Sensory_Rhodopsin_I</t>
  </si>
  <si>
    <t>O6bfd815f6</t>
  </si>
  <si>
    <t>Salinibacter_ruber_Sensory_Rhodopsin_I_Salinibacter ruber</t>
  </si>
  <si>
    <t>Volvox carteri Channelrhodopsin-1</t>
  </si>
  <si>
    <t>VcChR1</t>
  </si>
  <si>
    <t>Volvox carteri</t>
  </si>
  <si>
    <t>MDYPVARSLIVRYPTDLGNGTVCMPRGQCYCEGWLRSRGTSIEKTIAITLQWVVFALSVACLGWYAYQAWRATCGWEEVYVALIEMMKSIIEAFHEFDSPATLWLSSGNGVVWMRYGEWLLTCPVLLIHLSNLTGLKDDYSKRTMGLLVSDVGCIVWGATSAMCTGWTKILFFLISLSYGMYTYFHAAKVYIEAFHTVPKGICRELVRVMAWTFFVAWGMFPVLFLLGTEGFGHISPYGSAIGHSILDLIAKNMWGVLGNYLRVKIHEHILLYGDIRKKQKITIAGQEMEVETLVAEEEDDTVKQSTAKYASRDSFITMRNRMREKGLEVRASLDAGGGDSGMEAGGGGAAHAQPHMAKPGTELGKTMSASFTNGAATSLEPGRVILAVPDISMVDFFREQFAQLPVPYEVVPALGAENTVQLVQQAAMLGGCDFVLMHPEFLRDRGPTGLLPQVKMMGQRTAAFGWSQMGPMRDLIESSGVGAWLEGPSFGSGISQAALQQLVVKMQQAKRMAAMGSMMGGGMGNGMGMGMGMGMGMGMGNGMGNGMGMGNGMGNGMGMGNGMGNGMGMGNGMGMGNGMGMGNGMGMGNGMGNGMGNGMGMGNGMGNGMGNGMGNGMGNGMGNGMGMGNGMGMGNGMGNGMGNGMGNGMGNGMGMMTPGAMGMGMGGMGNLAAAAGNAMYGGGGGGGGSTMGSGNAAMMTGLVMGGGNGVGAGPGGVVANLGSSALQPQSQMMGGGNVVGMSSPQLQLQQSSSMPLGGLAPNRIGNNPLFGAAPSPLHSQPGASPTGLSSPQLGMGAMLPAGTSVGAGGGSVGPTETDMLQQLMTEINRLKDELGE</t>
  </si>
  <si>
    <t>837.0</t>
  </si>
  <si>
    <t>30.0</t>
  </si>
  <si>
    <t>Volvox_carteri_Channelrhodopsin_1</t>
  </si>
  <si>
    <t>Od1cf04ce5</t>
  </si>
  <si>
    <t>Volvox_carteri_Channelrhodopsin_1_Volvox carteri</t>
  </si>
  <si>
    <t>Volvox carteri Channelrhodopsin-2</t>
  </si>
  <si>
    <t>VcChR2</t>
  </si>
  <si>
    <t>MDHPVARSLIGSSYTNLNNGSIVIPSDACFCMKWLKSKGSPVALKMANALQWAAFALSVIILIYYAYATWRTTCGWEEVYVCCVELTKVVIEFFHEFDEPGMLYLANGNRVLWLRYGEWLLTCPVILIHLSNLTGLKDDYNKRTMRLLVSDVGTIVWGATAAMSTGYIKVIFFLLGCMYGANTFFHAAKVYIESYHTVPKGLCRQLVRAMAWLFFVSWGMFPVLFLLGPEGFGHLSVYGSTIGHTIIDLLSKNCWGLLGHFLRLKIHEHILLYGDIRKVQKIRVAGEELEVETLMTEEAPDTVKKSTAQYANRESFLTMRDKLKEKGFEVRASLDNSGIDAVINHNNNYNNALANAAAAVGKPGMELSKLDHVAANAAGMGGIADHVATTSGAISPGRVILAVPDISMVDYFREQFAQLPVQYEVVPALGADNAVQLVVQAAGLGGCDFVLLHPEFLRDKSSTSLPARLRSIGQRVAAFGWSPVGPVRDLIESAGLDGWLEGPSFGLGISLPNLASLVLRMQHARKMAAMLGGMGGMLGSNLMSGSGGVGLMGAGSPGGGGGAMGVGMTGMGMVGTNAMGRGAVGNSVANASMGGGSAGMGMGMMGMVGAGVGGQQQMGANGMGPTSFQLGSNPLYNTAPSPLSSQPGGDASAAAAAAAAAAATGAASNSMNAMQAGGSVRNSGILAGGLGSMMGPPGAPAAPTAAATAAPAVTMGAPGGGGAAASEAEMLQQLMAEINRLKSELGE</t>
  </si>
  <si>
    <t>747.0</t>
  </si>
  <si>
    <t>Volvox_carteri_Channelrhodopsin_2</t>
  </si>
  <si>
    <t>O2a0ab9171</t>
  </si>
  <si>
    <t>Volvox_carteri_Channelrhodopsin_2_Volvox carteri</t>
  </si>
  <si>
    <t>Zachrysium infestans Anion Channelrhodopsin</t>
  </si>
  <si>
    <t>ZipACR</t>
  </si>
  <si>
    <t>Zachrysium infestans</t>
  </si>
  <si>
    <t>MAALHQALEELGQGASRHLLYRAPEEMVYGKWVEANPRCIELHDHSDYVYVFQLCFAVVCACQVIFMFTRAPNVGWEAIYLPLAEVVTYSIAANGEGVLRMADGRYFNFAKLAGWAVCCPIMLIQIGGMAQIKYRTIPLNNVVLAASLNRIIFGMASAITASDPARWGFYFCAWICYLTEVGITLTIMAVAISDFSKIKTELGQWVVGRIQTMRIIFLVAWTSFPVVWVLGYTGFCVIHEDYIALLYLFADLLSKNTWGVMMWHTTWVKLNGKWDREFAAAGGHEALKKALEQDVEIGAGEKNQNQLTARQ</t>
  </si>
  <si>
    <t>311.0</t>
  </si>
  <si>
    <t>Zachrysium_infestans_Anion_Channelrhodopsin</t>
  </si>
  <si>
    <t>O6e2b9cfeb</t>
  </si>
  <si>
    <t>Zachrysium_infestans_Anion_Channelrhodopsin_Zachrysium infestans</t>
  </si>
  <si>
    <t>Neorhodopsin</t>
  </si>
  <si>
    <t>NeoR</t>
  </si>
  <si>
    <t>Rhizoclosmatium globosum</t>
  </si>
  <si>
    <t>MSALTKARDALANTSAKDPYHEAKPMGFVWLNFGMWLAAVGYTIHQRLFGGYHTKAVDRGNSDFIYKGTTFVFIVAVCFTYLGYIGTKSAAKKSMTFVLMMTCGVVATSWFLLYLRAGITLLDGAGHPVDIIRHLEWAHDEANLAYFLGLLTSADQWTIGRTILESHGLLLFGFLASIARHPYDELFATISMCIYLACLQDIISMFQKAIDGEVDNKVDTWTLRRCRDITIFAWSYITLAWYLVRHGFWSFETGELHIALGEFCAKVVLMLIFVNNSVEEAQINTVSQMETLTSSLDEQMAASDKLLEKLIPAGVLDQLKSGKATGAEEYSCVTVFFSDIANFTPLSQRTSTKDMLASLNNMWIEYDKISKKWGMYKVETIGDAFLGVVGAPDRVPDHAERAAEFSIDIIDMIKDFRLVTGEPIQIRAGLNSGPVTAGILGESNPHWCIVGDTVTIASKMEATSKHMKIHIAESTFNLIKSSGKFRTSDSEPVTIKGNVINTFFIEGRA</t>
  </si>
  <si>
    <t>509.0</t>
  </si>
  <si>
    <t>287.0</t>
  </si>
  <si>
    <t>12.0</t>
  </si>
  <si>
    <t>O46c416e81</t>
  </si>
  <si>
    <t>Cyclase</t>
  </si>
  <si>
    <t>Neorhodopsin_Rhizoclosmatium globosum</t>
  </si>
  <si>
    <t>bacteriorhodopsin</t>
  </si>
  <si>
    <t>1C3W</t>
  </si>
  <si>
    <t>X-ray</t>
  </si>
  <si>
    <t>Luecke et al., JMB, 1999</t>
  </si>
  <si>
    <t>HsBR</t>
  </si>
  <si>
    <t>TGRPEWIWLALGTALMGLGTLYFLVKGMGVSDPDAKKFYAITTLVPAIAFTMYLSMLLGYGLTMVPFGGEQNPIYWARYADWLFTTPLLLLDLALLVDADQGTILALVGADGIMIGTGLVGALTKVYSYRFVWWAISTAAMLYILYVLFFGFSMRPEVASTFKVLRNVTVVLWSAYPVVWLIGSEGAGIVPLNIETLLFMVLDVSAKVGFGLILLRSRAIFG</t>
  </si>
  <si>
    <t>P02945</t>
  </si>
  <si>
    <t>222.0</t>
  </si>
  <si>
    <t>O21386786a</t>
  </si>
  <si>
    <t>HsBR_Halobacterium salinarum</t>
  </si>
  <si>
    <t>AR1</t>
  </si>
  <si>
    <t>Halorubrum ezzemoulense</t>
  </si>
  <si>
    <t>1UAZ</t>
  </si>
  <si>
    <t>Enami et al., J Photosci., 2003</t>
  </si>
  <si>
    <t>archaerhodopsin-1</t>
  </si>
  <si>
    <t>TAAVGADLLGDGRPETLWLGIGTLLMLIGTFYFIVKGWGVTDKEAREYYSITILVPGIASAAYLSMFFGIGLTEVQVGSEMLDIYYARYADWLFTTPLLLLDLALLAKVDRVSIGTLVGVDALMIVTGLVGALSHTPLARYTWWLFSTICMIVVLYFLATSLRAAAKERGPEVASTFNTLTALVLVLWTAYPILWIIGTEGAGVVGLGIETLLFMVLDVTAKVGFGFILLRSRAIL</t>
  </si>
  <si>
    <t>P69051</t>
  </si>
  <si>
    <t>archaerhodopsin_1</t>
  </si>
  <si>
    <t>Oba4f6277e</t>
  </si>
  <si>
    <t>archaerhodopsin_1_Halorubrum ezzemoulense</t>
  </si>
  <si>
    <t>AR2</t>
  </si>
  <si>
    <t>Halobacterium sp. AUS-2</t>
  </si>
  <si>
    <t>1VGO</t>
  </si>
  <si>
    <t>Enami et al., JMB., 2006</t>
  </si>
  <si>
    <t>archaerhodopsin-2</t>
  </si>
  <si>
    <t>DLLNDGRPETLWLGIGTLLMLIGTFYFIARGWGVTDKEAREYYAITILVPGIASAAYLAMFFGIGVTEVELASGTVLDIYYARYADWLFTTPLLLLDLALLAKVDRVTIGTLIGVDALMIVTGLIGALSKTPLARYTWWLFSTIAFLFVLYYLLTSLRSAAAKRSEEVRSTFNTLTALVAVLWTAYPILWIVGTEGAGVVGLGIETLAFMVLDVTAKVGFGFVLLRSRAILGETE</t>
  </si>
  <si>
    <t>P29563</t>
  </si>
  <si>
    <t>archaerhodopsin_2</t>
  </si>
  <si>
    <t>O19e22f4f9</t>
  </si>
  <si>
    <t>archaerhodopsin_2_Halobacterium sp. AUS-2</t>
  </si>
  <si>
    <t>Arch, AR3</t>
  </si>
  <si>
    <t>Halorubrum sodomense</t>
  </si>
  <si>
    <t>6GUX</t>
  </si>
  <si>
    <t>Bada Juarez et al., Nat Commun., 2021</t>
  </si>
  <si>
    <t>archaerhodopsin-3</t>
  </si>
  <si>
    <t>AGYDLLGDGRPETLWLGIGTLLMLIGTFYFLVRGWGVTDKDAREYYAVTILVPGIASAAYLSMFFGIGLTEVTVGGEMLDIYYARYADWLFTTPLLLLDLALLAKVDRVTIGTLVGVDALMIVTGLIGALSHTAIARYSWWLFSTICMIVVLYFLATSLRSAAKERGPEVASTFNTLTALVLVLWTAYPILWIIGTEGAGVVGLGIETLLFMVLDVTAKVGFGFILLRSRAILGDTEAPE</t>
  </si>
  <si>
    <t>P96787</t>
  </si>
  <si>
    <t>240.0</t>
  </si>
  <si>
    <t>archaerhodopsin_3</t>
  </si>
  <si>
    <t>Of0c145803</t>
  </si>
  <si>
    <t>AR3</t>
  </si>
  <si>
    <t>archaerhodopsin_3_Halorubrum sodomense</t>
  </si>
  <si>
    <t>dR3</t>
  </si>
  <si>
    <t>Natrinema thermotolerans</t>
  </si>
  <si>
    <t>4FBZ</t>
  </si>
  <si>
    <t>Zhang et al., Proteins, 2013</t>
  </si>
  <si>
    <t>deltarhodopsin-3</t>
  </si>
  <si>
    <t>MAATVGPESIWLWIGTIGMTLGTLYFVGRGRGVRDRKMQEFYIITTFITTIAAAMYFAMATGFGVTEVVVGDEALTIYWARYADWLFTTPLLLLDLGLLAGANRNTIATLIGLDVFMIGTGMIAAFAATPGTRIAWWGISTGALLALLYVLVGTLSKDARGQSPEVASLFGRLRNLVIVLWLLYPVVWILGTEGTFGILPLYWETAAFMVLDLSAKVGFGVVLLRSRSVLRRVVTPTA</t>
  </si>
  <si>
    <t>I4DST7</t>
  </si>
  <si>
    <t>238.0</t>
  </si>
  <si>
    <t>deltarhodopsin_3</t>
  </si>
  <si>
    <t>Oa63776b5e</t>
  </si>
  <si>
    <t>deltarhodopsin_3_Natrinema thermotolerans</t>
  </si>
  <si>
    <t>cR3, Cop3</t>
  </si>
  <si>
    <t>Haloarcula vallismortis</t>
  </si>
  <si>
    <t>4JR8</t>
  </si>
  <si>
    <t>Chan et al., PLOS ONE, 2014</t>
  </si>
  <si>
    <t>cruxrhodopsin-3</t>
  </si>
  <si>
    <t>PEGEAIWLWLGTAGMFLGMLYFIARGWGETDSRRQKFYIATILITAIAFVNYLAMALGFGLTIVEIAGEQRPIYWARYSDWLFTTPLLLYDLGLLAGADRNTISSLVSLDVLMIGTGLVATLSAGSGVLSAGAERLVWWGISTAFLLVLLYFLFSSLSGRVADLPSDTRSTFKTLRNLVTVVWLVYPVWWLVGTEGIGLVGIGIETAGFMVIDLVAKVGFGIILLRSHGVLDGA</t>
  </si>
  <si>
    <t>P94854</t>
  </si>
  <si>
    <t>234.0</t>
  </si>
  <si>
    <t>cruxrhodopsin_3</t>
  </si>
  <si>
    <t>O46bf847f3</t>
  </si>
  <si>
    <t>cR3</t>
  </si>
  <si>
    <t>cruxrhodopsin_3_Haloarcula vallismortis</t>
  </si>
  <si>
    <t>Haloarcula marismortui bacteriorhodopsin I D94N</t>
  </si>
  <si>
    <t>Haloarcula marismortui ATCC 43049</t>
  </si>
  <si>
    <t>Shevchenko et al., PLOS ONE, 2014</t>
  </si>
  <si>
    <t>HmBRI-D94N</t>
  </si>
  <si>
    <t>HmBRI_D94N</t>
  </si>
  <si>
    <t>O71a387ec0</t>
  </si>
  <si>
    <t>HmBRI_D94N_Haloarcula marismortui ATCC 43049</t>
  </si>
  <si>
    <t>Haloquadratum walsbyi DSM 16790</t>
  </si>
  <si>
    <t>5KKH</t>
  </si>
  <si>
    <t>Broecker et al., Cryst Growth Des, 2016</t>
  </si>
  <si>
    <t>5KHH</t>
  </si>
  <si>
    <t>HwBR</t>
  </si>
  <si>
    <t>SSRRQYQEKYKQVEQYMSFHKLPADFRQKIHDYYEHRYQGKMFDEDSILGELNGPLREEIVNFNRKLVASMPLFANADPNFVTAMLTKLKFEVFQPGDYIIREGTIGKKMYFIQHGVVSVLTKGNKEMKLSDGSYFGEICLLTRGRRTASVRADTYCRLYSLSVDNFNEVLEEYPMMRRAFETVAIDRLDRIGK</t>
  </si>
  <si>
    <t>O88703</t>
  </si>
  <si>
    <t>194.0</t>
  </si>
  <si>
    <t>O55bb59799</t>
  </si>
  <si>
    <t>HwBR_Haloquadratum walsbyi DSM 16790</t>
  </si>
  <si>
    <t>Gloeobacter rhodopsin</t>
  </si>
  <si>
    <t>Gloeobacter violaceus PCC 7421</t>
  </si>
  <si>
    <t>6NWD</t>
  </si>
  <si>
    <t>2.0</t>
  </si>
  <si>
    <t>Morizumi et al., Sci. Rep., 2019</t>
  </si>
  <si>
    <t>GR</t>
  </si>
  <si>
    <t>DSLTYGQFNLVYNAFSFAIAAMFASALFFFSAQALVGQRYRLALLVSAIVVSIAGYHYFRIFNSWDAAYVLENGVYSLTSEKFNDAYRYVDWLLTVPLLLVETVAVLTLPAKEARPLLIKLTVASVLMIATGYPGEISDDITTRIIWGTVSTIPFAYILYVLWVELSRSLVRQPAAVQTLVRNMRWLLLLSWGVYPIAYLLPMLGVSGTSAAVGVQVGYTIADVLAKPVFGLLVFAIALVKTKADQ</t>
  </si>
  <si>
    <t>Q7NP59</t>
  </si>
  <si>
    <t>246.0</t>
  </si>
  <si>
    <t>Of214a7d42</t>
  </si>
  <si>
    <t>GR_Gloeobacter violaceus PCC 7421</t>
  </si>
  <si>
    <t>thermophilic rhodopsin</t>
  </si>
  <si>
    <t>Thermus thermophilus JL-18</t>
  </si>
  <si>
    <t>5AZD</t>
  </si>
  <si>
    <t>Tsukamoto et al., JBC, 2016</t>
  </si>
  <si>
    <t>TR</t>
  </si>
  <si>
    <t>MLPELSFGEYWLVFNMLSLTIAGMLAAFVFFLLARSYVAPRYHIALYLSALIVFIAGYHYLRIFESWVGAYQLQDGVYVPTGKPFNDFYRYADWLLTVPLLLLELILVLGLTAARTWNLSIKLVVASVLMLALGYVGEVNTEPGPRTLWGALSSIPFFYILYVLWVELGQAIREAKFGPRVLELLGATRLVLLMSWGFYPIAYALGTWLPGGAAQEVAIQIGYSLADLIAPIYGLLVFAIARAKSLEEGF</t>
  </si>
  <si>
    <t>H9ZSC3</t>
  </si>
  <si>
    <t>Oebe021079</t>
  </si>
  <si>
    <t>TR_Thermus thermophilus JL-18</t>
  </si>
  <si>
    <t>Xanthorhodopsin</t>
  </si>
  <si>
    <t>3DDL</t>
  </si>
  <si>
    <t>Luecke et al., PNAS, 2008</t>
  </si>
  <si>
    <t>XR</t>
  </si>
  <si>
    <t>ELPTLTPGQYSLVFNMFSFTVATMTASFVFFVLARNNVAPKYRISMMVSALVVFIAGYHYFRITSSWEAAYALQNGMYQPTGELFNDAYRYVDWLLTVPLLTVELVLVMGLPKNERGPLAAKLGFLAALMIVLGYPGEVSENAALFGTRGLWGFLSTIPFVWILYILFTQLGDTIQRQSSRVSTLLGNARLLLLATWGFYPIAYMIPMPSNTPGTIVALQVGYTIADVLAKAGYGVLIYNIAKAKSEEEGFN</t>
  </si>
  <si>
    <t>Q2S2F8</t>
  </si>
  <si>
    <t>252.0</t>
  </si>
  <si>
    <t>O6e029fb0c</t>
  </si>
  <si>
    <t>XR_Salinibacter ruber</t>
  </si>
  <si>
    <t>Rubrobacter xylanophilus DSM 9941</t>
  </si>
  <si>
    <t>6KFQ</t>
  </si>
  <si>
    <t xml:space="preserve">Hayashi et al., J Phys Chem B, 2020 </t>
  </si>
  <si>
    <t>RxR</t>
  </si>
  <si>
    <t>MEALWLWIGFVGMLLGTLYFAFLLTNAPEGTRYFFVITATITGIAAIAYLVMATGSGSTVLPDGREFYWARYIDWVITTPLLLLDLCLLALADPRRNVTFIASLIALDVVMILTGLWAGATVNVAGRAILFIISTAAFIGVLYLLVSRLFAEASRRTPAVAQIFRTLAVLTIVLWICYPIVWLIGTEGFGAVSLSVEVFLFMVLDLLAKVGFGLLLLSSRQALSDIGSG</t>
  </si>
  <si>
    <t>Q1AUE6</t>
  </si>
  <si>
    <t>229.0</t>
  </si>
  <si>
    <t>O9bf555c17</t>
  </si>
  <si>
    <t>RxR_Rubrobacter xylanophilus DSM 9941</t>
  </si>
  <si>
    <t>uncultured bacterium</t>
  </si>
  <si>
    <t>Ran et al., Acta Crystallogr D Biol Crystallogr, 2013</t>
  </si>
  <si>
    <t>Med12BPR</t>
  </si>
  <si>
    <t>O34c1e6315</t>
  </si>
  <si>
    <t>Med12BPR_uncultured bacterium</t>
  </si>
  <si>
    <t>gamma proteobacterium 'Hot 75m4</t>
  </si>
  <si>
    <t>HOT75BPR-D97N</t>
  </si>
  <si>
    <t>HOT75BPR_D97N</t>
  </si>
  <si>
    <t>O87fbcd72d</t>
  </si>
  <si>
    <t>H75BPR-D97N</t>
  </si>
  <si>
    <t>HOT75BPR_D97N_gamma proteobacterium 'Hot 75m4</t>
  </si>
  <si>
    <t>uncultured Gammaproteobacteria bacterium</t>
  </si>
  <si>
    <t>8CQC</t>
  </si>
  <si>
    <t>cryo-EM</t>
  </si>
  <si>
    <t>Hirschi et al., Nat Commun., 2024</t>
  </si>
  <si>
    <t>GPR-A18L</t>
  </si>
  <si>
    <t>DASDYTGVSFWLVTAALLASTVFFFVERDRVSAKWKTSLTVSGLVTGIAFWHYMYMRGVWIETGDSPTVFRYIDWLLTVPLLICEFYLILAAATNVAGSLFKKLLVGSLVMLVFGYMGEAGIMAAWPAFIIGCLAWVYMIYELWAGEGKSACNTASPAVQSAYNTMMYIIIFGWAIYPVGYFTGYLNLNLIYNLADFVNKILFGLIIWNVAVKESSN</t>
  </si>
  <si>
    <t>Q6J4G7</t>
  </si>
  <si>
    <t>217.0</t>
  </si>
  <si>
    <t>GPR_A18L</t>
  </si>
  <si>
    <t>Oc98c7da8d</t>
  </si>
  <si>
    <t>GPR_A18L_uncultured Gammaproteobacteria bacterium</t>
  </si>
  <si>
    <t>Exiguobacterium artemiae</t>
  </si>
  <si>
    <t>4HYJ</t>
  </si>
  <si>
    <t>Gushchin et al., PNAS, 2013</t>
  </si>
  <si>
    <t>ESR</t>
  </si>
  <si>
    <t>EVNLLVLATQYMFWVGFVGMAAGTLYFLVERNSLAPEYRSTATVAALVTFVAAIHYYFMKDAVGTSGLLSEIDGFPTEIRYIDWLVTTPLLLVKFPLLLGRLGRPLLTKLVIADVIMIVGGYIGESSINIAGGFTQLGLWSYLIGCFAWIYIIYLLFTNVTKAAENKPAPIRDALLKMRLFILIGWAIYPIGYAVTLFAPGVEIQLVRELIYNFADLTNKVGFGLIAFFAVKTMSS</t>
  </si>
  <si>
    <t>B1YFV8</t>
  </si>
  <si>
    <t>O82a52e1d2</t>
  </si>
  <si>
    <t>ESR_Exiguobacterium artemiae</t>
  </si>
  <si>
    <t>Candidatus Actinomarina minuta</t>
  </si>
  <si>
    <t>7AVN</t>
  </si>
  <si>
    <t>unpublished???</t>
  </si>
  <si>
    <t>MacR</t>
  </si>
  <si>
    <t>MEELTYRLFMVATVGMLAGTVFLLASSREVKPEHRRGVYISALVCGIAWYHYQKMGASWESGSYDTGLRYVDWVLTVPLMFVEVLAVTRKGAAYNEAVRNWGIAATVMIGAGYYGETSAAGSNEYWTGFVIAMATYVWLMRNLQAEGEGLKGDQAVAFENIKNLILVGWIIYPLGYIAPVVGDFDAIREVLYTIADIINVGLGVLVLQMARVQSGE</t>
  </si>
  <si>
    <t>S5DM51</t>
  </si>
  <si>
    <t>216.0</t>
  </si>
  <si>
    <t>Ob29057596</t>
  </si>
  <si>
    <t>MacR_Candidatus Actinomarina minuta</t>
  </si>
  <si>
    <t>Phaeocystis globosa virus 12T</t>
  </si>
  <si>
    <t>Virus</t>
  </si>
  <si>
    <t>6JO0</t>
  </si>
  <si>
    <t>Needham et al., PNAS., 2019</t>
  </si>
  <si>
    <t>VirR DTS</t>
  </si>
  <si>
    <t>ENSFIVKNTMIFSFLIQIITLIIGIFAQFIKVPRHKYILKDALLLENIVQFIEAIFYLWFIYFYKENVDKIDIAKYRYYDWFLTTPTMILSVIIYFHYNNSSKKIYYNMITFFKQDFRKILELWFYNFNMLIIGYLQEINIISILLSTLIGFYFFGLLFYKMFKYYVVQNKKNYLLFFLMFFIWGLYGIAALFNYKFKNAFYNILDIFSKNFFGLFLAYLVFTG</t>
  </si>
  <si>
    <t>G8DI69</t>
  </si>
  <si>
    <t>224.0</t>
  </si>
  <si>
    <t>VirR_DTS</t>
  </si>
  <si>
    <t>Oac2e063ab</t>
  </si>
  <si>
    <t>VirR</t>
  </si>
  <si>
    <t>VirR_DTS_Phaeocystis globosa virus 12T</t>
  </si>
  <si>
    <t>cyanorhodopsin N2098R</t>
  </si>
  <si>
    <t>Calothrix sp. NIES-2098</t>
  </si>
  <si>
    <t>Hasegawa et al., Sci Rep., 2020</t>
  </si>
  <si>
    <t>CyR N2098R</t>
  </si>
  <si>
    <t>CyR_N2098R</t>
  </si>
  <si>
    <t>O44e64517b</t>
  </si>
  <si>
    <t>cyR-N2098R</t>
  </si>
  <si>
    <t>CyR_N2098R_Calothrix sp. NIES-2098</t>
  </si>
  <si>
    <t>cyanorhodopsin N4075R</t>
  </si>
  <si>
    <t>Tolypothrix sp. NIES-4075</t>
  </si>
  <si>
    <t>6LM1</t>
  </si>
  <si>
    <t>CyR N4075R</t>
  </si>
  <si>
    <t>GMTQLALIGLWIGFIGMVIGAVIFGQKAVAMRRKEGMEFPLKSFFIVLWAGALYLTMILGETVTPVQTVFWGRYVDWVVTTPVLLLDLGVLAGLRPKLIAGVIAADIFMILTGLVATLEAPPTSYLWYIISCGAFIAILASLLTEFTASAARRNVRVNNLFLKLRNYLIVLWICYPIVWLLGAEAFKIIPTGVEVVIYAIIDIAAKVGFGLILTSAAPEILAQASN</t>
  </si>
  <si>
    <t>A0A218QMM7</t>
  </si>
  <si>
    <t>226.0</t>
  </si>
  <si>
    <t>CyR_N4075R</t>
  </si>
  <si>
    <t>O350b1f525</t>
  </si>
  <si>
    <t>cyR-N4075R</t>
  </si>
  <si>
    <t>CyR_N4075R_Tolypothrix sp. NIES-4075</t>
  </si>
  <si>
    <t>cyanorhodopsin-II P7104R</t>
  </si>
  <si>
    <t>Nodosilinea nodulosa PCC 7104</t>
  </si>
  <si>
    <t>8H79</t>
  </si>
  <si>
    <t>Hasegawa et al., ISME J, 2024</t>
  </si>
  <si>
    <t>CyR-II P7104R</t>
  </si>
  <si>
    <t>MNLLSQVSFWVGCGILAFGSIVFGLGAWNAKRQSWEEFYIVHFTVTTVAACAYLAMAMGQGEITLQNTDLAAEGVRHIYWARYCDWIVTTPLILFSICRLSKVRGTMIAGIIMSDVLMIITGAIAAFSFAPERYVWYIVSCMFEVAIFVILLGAVRTSAMRQHYDVKNLFNLVFTVFSIYFWAYPIVWILGQKGVGLYGTGVESLLIMLLDITAKVFYGFLLLRDRETLQRMGQLS</t>
  </si>
  <si>
    <t>CyR_II_P7104R</t>
  </si>
  <si>
    <t>O50bb08910</t>
  </si>
  <si>
    <t>cyR2-P7104R</t>
  </si>
  <si>
    <t>CyR_II_P7104R_Nodosilinea nodulosa PCC 7104</t>
  </si>
  <si>
    <t>Pseudomonas putida</t>
  </si>
  <si>
    <t>7W74</t>
  </si>
  <si>
    <t>Suzuki et al., JBC, 2022</t>
  </si>
  <si>
    <t>PspR</t>
  </si>
  <si>
    <t>MIQTPLLIGFIVMALASLAIYIKGAHYGPLLGHTLIHAAVPFIAATAYLCMYLGVGNLIKVDGSVTYLARYVDWAFTTPLLLAGVVSSAYYGTRDLYGKSGYITAIVTLDVIMIVTGLIASLAPYGVIKWVFFAWSCAAFAGVLYLLWKPVASIASQQPGVSPAYRRNVGFLTVLWLIYPVVFAVGPEGFWAVSDATTVWVFLVLDVLAKVVYAFTSERNLRAVPV</t>
  </si>
  <si>
    <t>A0A370SAH7</t>
  </si>
  <si>
    <t>O81a01dd73</t>
  </si>
  <si>
    <t>PspR_Pseudomonas putida</t>
  </si>
  <si>
    <t>Sphingomonas paucimobilis</t>
  </si>
  <si>
    <t>8ANQ</t>
  </si>
  <si>
    <t>Okhrimenko et al., Commun. Biol., 2023</t>
  </si>
  <si>
    <t>SpaR</t>
  </si>
  <si>
    <t>DWMAFLIGFTIMSLASLAIYAKGSKTSPALHHTLLHAAVPFIAATAYLAMTFGIGTLVNFNGSVTYLARYADWSVTTPILLASLVLLAFHERGRTGEVGGYLTAIIVLDVLMIVTGLISSLAVVPALKWVWYLWSCAAFLGVLYLLWVPLRAMAVERGEALGTAYQKNVAFLTVIWFLYPIVFLIGPEGLKIISDPTSVWAILIMDVLAVVYAFYAAANLETALRHH</t>
  </si>
  <si>
    <t>A0A411LJN5</t>
  </si>
  <si>
    <t>O35c4fc4af</t>
  </si>
  <si>
    <t>SpaR_Sphingomonas paucimobilis</t>
  </si>
  <si>
    <t>uncultured Bdellovibrionales bacterium</t>
  </si>
  <si>
    <t>7YTB</t>
  </si>
  <si>
    <t>3.0</t>
  </si>
  <si>
    <t>Chazan et al., Nature, 2023</t>
  </si>
  <si>
    <t>Kin4B8</t>
  </si>
  <si>
    <t>SATTLTLQQFSTVYNMLSFAVASMLGAFAFFVMGRKIVGPKYRLALVVSSLVVLIAGYHYWRIMGSWTAAYALKDGMYVPTGEPFNDAYRYVDWLLTVPLLLTELVLVMKLKKESGSVLAKLILAAIAMIALGYPGEISNPESQAGARLMWGVLSTVPFLYILYVLWVRLGDAIGEHPAKVQVLLKNTRYLILLTWGFYPIVYAMGSYGWLGGAGSVVAVQVGYSIADVTAKALYGVMIFAIAYAKSEADGSLPA</t>
  </si>
  <si>
    <t>A0A977XLG0</t>
  </si>
  <si>
    <t>255.0</t>
  </si>
  <si>
    <t>O3e9ee2413</t>
  </si>
  <si>
    <t>Kin4B8_uncultured Bdellovibrionales bacterium</t>
  </si>
  <si>
    <t>Mac</t>
  </si>
  <si>
    <t>Plenodomus lingam</t>
  </si>
  <si>
    <t>7BMH</t>
  </si>
  <si>
    <t>Zabelskii et al., Commun. Biol., 2021</t>
  </si>
  <si>
    <t>LR</t>
  </si>
  <si>
    <t>PIYETVGDSGSKTLWVVFVLMLIASAAFTALSWKIPVNRRLYHVITTIITLTAALSYFAMATGHGVALNKIVIRTQHDHVPDTYETVYRQVYYARYIDWAITTPLLLLDLGLLAGMSGAHIFMAIVADLIMVLTGLFAAFGSEGTPQKWGWYTIACIAYIFVVWHLVLNGGANARVKGEKLRSFFVAIGAYTLILWTAYPIVWGLADGARKIGVDGEIIAYAVLDVLAGVFGAWLLVTHANLRESD</t>
  </si>
  <si>
    <t>Q9HGT7</t>
  </si>
  <si>
    <t>O90a7c45ea</t>
  </si>
  <si>
    <t>LR_Plenodomus lingam</t>
  </si>
  <si>
    <t>Coccomyxa subellipsoidea C-169</t>
  </si>
  <si>
    <t>6GYH</t>
  </si>
  <si>
    <t>Fudim et al., Sci. Signal., 2019</t>
  </si>
  <si>
    <t>CsR</t>
  </si>
  <si>
    <t>AVHQIGEGGLVMYWVTFGLMAFSALAFAVMTFTRPLNKRSHGYITLAIVTIAAIAYYAMAASGGKALVSNPDGNLRDIYYARYIDWFFTTPLLLLDIILLTGIPIGVTLWIVLADVAMIMLGLFGALSTNSYRWGYYGVSCAFFFVVLWGLFFPGAKGARARGGQVPGLYFGLAGYLALLWFGYPIVWGLAEGSDYISVTAEAASYAGLDIAAKVVFGWAVMLSH</t>
  </si>
  <si>
    <t>I0YUS5</t>
  </si>
  <si>
    <t>225.0</t>
  </si>
  <si>
    <t>Ocbac91dde</t>
  </si>
  <si>
    <t>CsR_Coccomyxa subellipsoidea C-169</t>
  </si>
  <si>
    <t>ARI</t>
  </si>
  <si>
    <t>Acetabularia acetabulum</t>
  </si>
  <si>
    <t>5AWZ</t>
  </si>
  <si>
    <t>Furuse et al., Acta Crystallogr D Biol Crystallogr, 2015</t>
  </si>
  <si>
    <t>Acetabularia Rhodopsin I</t>
  </si>
  <si>
    <t>SNPNPFQTTLGTDAQWVVFAVMALAAIVFSIAVQFRPLPLRLTYYVNIAICTIAATAYYAMAVNGGDNKPTAGTGADERQVIYARYIDWVFTTPLLLLDLVLLTNMPATMIAWIMGADIAMIAFGIIGAFTVGSYKWFYFVVGCIMLAVLAWGMINPIFKEELQKHKEYTGAYTTLLIYLIVLWVIYPIVWGLGAGGHIIGVDVEIIAMGILDLLAKPLYAIGVLITVEVVYGKL</t>
  </si>
  <si>
    <t>G3CEP6</t>
  </si>
  <si>
    <t>Acetabularia_Rhodopsin_I</t>
  </si>
  <si>
    <t>Ob91f0dc0d</t>
  </si>
  <si>
    <t>Acetabularia_Rhodopsin_I_Acetabularia acetabulum</t>
  </si>
  <si>
    <t>ARII</t>
  </si>
  <si>
    <t>3AM6</t>
  </si>
  <si>
    <t>Wada et al., JMB, 2011</t>
  </si>
  <si>
    <t>Acetabularia Rhodopsin II</t>
  </si>
  <si>
    <t>MADVETETGMIAQWIVFAIMAAAAIAFGVAVHFRPLKSAYYINIAICTIAATAYYAMAVNYQDLTMNGERQVVYARYIDWVLTTPLLLLDLIVMTKMGGVMISWVIGADIFMIVFGILGAFEDEHKFKWVYFIAGCVMQAVLTYGMYNATWKDDKSPEYHSSYVSLLVFLSILWVFYPVVWAFGSGSGVLSVDNEAILMGILDVLAKPLFGMGCLIAHETIFKK</t>
  </si>
  <si>
    <t>G1K3Q0</t>
  </si>
  <si>
    <t>Acetabularia_Rhodopsin_II</t>
  </si>
  <si>
    <t>O06b79f397</t>
  </si>
  <si>
    <t>Acetabularia_Rhodopsin_II_Acetabularia acetabulum</t>
  </si>
  <si>
    <t>halorhodopsin</t>
  </si>
  <si>
    <t>Kolbe et al., Science, 2000</t>
  </si>
  <si>
    <t>HsHR</t>
  </si>
  <si>
    <t>RENALLSSSLWVNVALAGIAILVFVYMGRTIRPGRPRLIWGATLMIPLVSISSYLGLLSGLTVGMIEMPAGHALAGEMVRSQWGRYLTWALSTPMILLALGLLADVDLGSLFTVIAADIGMCVTGLAAAMTTSALLFRWAFYAISCAFFVVVLSALVTDWAASASSAGTAEIFDTLRVLTVVLWLGYPIVWAVGVEGLALVQSVGATSWAYSVLDVFAKYVFAFILLRWVANNERTVAV</t>
  </si>
  <si>
    <t>P0DMH7</t>
  </si>
  <si>
    <t>O6dcef2adb</t>
  </si>
  <si>
    <t>HsHR_Halobacterium salinarum</t>
  </si>
  <si>
    <t>Natronomonas pharaonis DSM 2160</t>
  </si>
  <si>
    <t>3A7K</t>
  </si>
  <si>
    <t>Kouyama et al., JMB, 2010</t>
  </si>
  <si>
    <t>NpHR</t>
  </si>
  <si>
    <t>VTQRELFEFVLNDPLLASSLYINIALAGLSILLFVFMTRGLDDPRAKLIAVSTILVPVVSIASYTGLASGLTISVLEMPAGHFAEGSSVMLGGEEVDGVVTMWGRYLTWALSTPMILLALGLLAGSNATKLFTAITFDIAMCVTGLAAALTTSSHLMRWFWYAISCACFIVVLYILLVEWAQDAKAAGTADIFSTLKLLTVVMWLGYPIVWALGVEGVAVLPVGYTSWAYSALDIVAKYIFAFLLLNYLTSNEGVVSGS</t>
  </si>
  <si>
    <t>Q3ITX1</t>
  </si>
  <si>
    <t>259.0</t>
  </si>
  <si>
    <t>O6ff5517a8</t>
  </si>
  <si>
    <t>NpHR_Natronomonas pharaonis DSM 2160</t>
  </si>
  <si>
    <t>NmClR, NmHR</t>
  </si>
  <si>
    <t>Nonlabens marinus S1-08</t>
  </si>
  <si>
    <t>5B2N</t>
  </si>
  <si>
    <t>Hosaka et al., JBC, 2016</t>
  </si>
  <si>
    <t>NM-R3</t>
  </si>
  <si>
    <t>KNIESLFDYSAGQFEFIDHLLTMGVGVHFAALIFFLVVSQFVAPKYRIATALSCIVMVSAGLILNSQAVMWTDAYAYVDGSYQLQDLTFSNGYRYVNWMATIPCLLLQLLIVLNLKGKELFSTATWLILAAWGMIITGYVGQLYEVDDIAQLMIWGAVSTAFFVVMNWIVGTKIFKNRATMLGGTDSTITKVFWLMMFAWTLYPIAYLVPAFMNNADGVVLRQLLFTIADISSKVIYGLMITYIAIQQSAAAGYVPAQQALGR</t>
  </si>
  <si>
    <t>W8VZW3</t>
  </si>
  <si>
    <t>263.0</t>
  </si>
  <si>
    <t>NM_R3</t>
  </si>
  <si>
    <t>O980c122b6</t>
  </si>
  <si>
    <t>NmClR</t>
  </si>
  <si>
    <t>NM_R3_Nonlabens marinus S1-08</t>
  </si>
  <si>
    <t>MastR</t>
  </si>
  <si>
    <t>Mastigocladopsis repens</t>
  </si>
  <si>
    <t>6XL3</t>
  </si>
  <si>
    <t>Besaw et al., JBC, 2020</t>
  </si>
  <si>
    <t>MrHR</t>
  </si>
  <si>
    <t>MTQAWLWIGVISMALGSVFFGFGAHNAKNERWQILYTLNFFICLIAAGLYLAMALGLGVNVINGRPTYWVRFVTWFCSTPLLLLDLTFLGRTSLPLTGSLLGANAYMLVTGFVATVTPKPMSYIWYIVSCAAYLAIVYLLAQPYRIAAERKHPRSKQAFRTLVTVHLVLWTLYPIVWILSPEGFSTFTQGSETMFYTLLDIASKVGFGFLSLNTLHTLEQATE</t>
  </si>
  <si>
    <t>223.0</t>
  </si>
  <si>
    <t>O029d00a7d</t>
  </si>
  <si>
    <t>MrHR_Mastigocladopsis repens</t>
  </si>
  <si>
    <t>Synechocystis sp. PCC 7509</t>
  </si>
  <si>
    <t>7ZOU</t>
  </si>
  <si>
    <t>Astashkin et al., Nat Commun., 2022</t>
  </si>
  <si>
    <t>SyHR</t>
  </si>
  <si>
    <t>AQIWLWIGVIGMALGSIFFGIGAHNAKNERWKILFTINFFICAIATGLYLSMALGQGRSVIAGRPTVWVRYITWFLSTPLLILDLTFLGKTSLPITASLLGANAYMIATGFVATISADRTIGHIWYVVSCFAFLATVYLLVNQYRKQAERNYPQAKKVFRKLLSVHLVLWTLYPIVWLLGNTGFNAVNQGTETMFYTILDITSVGFGFLSLNSMHTLEKNTES</t>
  </si>
  <si>
    <t>Oeb6cc95eb</t>
  </si>
  <si>
    <t>SyHR_Synechocystis sp. PCC 7509</t>
  </si>
  <si>
    <t>Salinarimonas soli</t>
  </si>
  <si>
    <t>8XX8</t>
  </si>
  <si>
    <t>Ishizuka et al., JBC, 2024</t>
  </si>
  <si>
    <t>SsGHR</t>
  </si>
  <si>
    <t>MNPRPIEPATEAWLWVGVAGMALAAIVMLAFVKRARTPFEESQAVSQFFVLLIAFGTYLAMALGQGSLTADDGRQVFVSRYITWTFTTPLLLLGLATTALGSPITRRKPVVAGLIGADIIMILTGLVAALSPSGSHEKWIWYGVSSGAFLAVYYLICGPLLLEARVTGADHRRLYLRNAVVLSVIWFLYPVNFLLGNEGLGQWGGTATTAIYTLLDLASKAAYGFFAITGVRALTDRAGAPALTLDEAARRAGGT</t>
  </si>
  <si>
    <t>A0A5B2VFD4</t>
  </si>
  <si>
    <t>Of8c0feedc</t>
  </si>
  <si>
    <t>SsGHR_Salinarimonas soli</t>
  </si>
  <si>
    <t>Krokinobacter Rhodopsin 2</t>
  </si>
  <si>
    <t>outward sodium pump</t>
  </si>
  <si>
    <t>3X3C</t>
  </si>
  <si>
    <t>Kato  et al., Nature, 2015</t>
  </si>
  <si>
    <t>KR2</t>
  </si>
  <si>
    <t>LGNANFENFIGATEGFSEIAYQFTSHILTLGYAVMLAGLLYFILTIKNVDKKFQMSNILSAVVMVSAFLLLYAQAQNWTSSFTFNEEVGRYFLDPSGDLFNNGYRYLNWLIDVPMLLFQILFVVSLTTSKFSSVRNQFWFSGAMMIITGYIGQFYEVSNLTAFLVWGAISSAFFFHILWVMKKVINEGKEGISPAGQKILSNIWILFLISWTLYPGAYLMPYLTGVDGFLYSEDGVMARQLVYTIADVSSKVIYGVLLGNLAITLSKNKEL</t>
  </si>
  <si>
    <t>N0DKS8</t>
  </si>
  <si>
    <t>271.0</t>
  </si>
  <si>
    <t>O9001230e7</t>
  </si>
  <si>
    <t>KR2_Krokinobacter eikastus</t>
  </si>
  <si>
    <t>Erythrobacter</t>
  </si>
  <si>
    <t>8QLF</t>
  </si>
  <si>
    <t>Podoliak et al., Nat Commun., 2024</t>
  </si>
  <si>
    <t>ErNaR</t>
  </si>
  <si>
    <t>MPSIENFLAYDFWQYDVIRHLFAFSTAVFLAGLVYFAMTARTTAPNYRLSANISAVVMVSAALELGQLWLLWNESFQWAELQGSFVPVAGERFSNGYRYMNWLIDVPMLATQLVVVCGFVGTELRNRWAKLTIAGVLMILTGYVGQYFEPAVAGVPGYEGAEQFWIWGIISTAFFVWMLLILANAVRNPQGAPSDEVRSRLKFCFWFLLATWSIYPFAYAMPLFAPTADGVVVRQVIYTVADVSSLVFGVILSQVALRRSAEEGFEPARVA</t>
  </si>
  <si>
    <t>A0A1H1XA63</t>
  </si>
  <si>
    <t>O812d5502f</t>
  </si>
  <si>
    <t>ErNaR_Erythrobacter</t>
  </si>
  <si>
    <t>Indibacter alkaliphilus</t>
  </si>
  <si>
    <t>8JH0</t>
  </si>
  <si>
    <t>Sato et al., JBC, 2023</t>
  </si>
  <si>
    <t>IaNaR</t>
  </si>
  <si>
    <t>NATFENYIGLQDGFNEMAYQMVAHVLTLGYAVMLAGLFYFVLTIKTVAPRFRTSSVLSVVVMVSAFLLLYVQASNWTESFVFDTERGKYFLGEGNDLFNNGYRYLNWLIDVPMLLFQILFVVTLTKSNFSSIRNQFWISGTGMIVTGYIGQFYEVTDLTMFAIWGAISTVFFFHILWLMKKVIDEGKDGIPAKAQETLQSIWVLFLVSWMLYPGAYLMPHLAGIEGLFFSEIGVVARQITYTIADVSSKVIYGILLTNVAQVMSK</t>
  </si>
  <si>
    <t>S2D3K4</t>
  </si>
  <si>
    <t>265.0</t>
  </si>
  <si>
    <t>O1a94970fe</t>
  </si>
  <si>
    <t>IaNaR_Indibacter alkaliphilus</t>
  </si>
  <si>
    <t>Schizorhodopsins 4</t>
  </si>
  <si>
    <t>Promethearchaeati archaeon</t>
  </si>
  <si>
    <t>inward proton pump</t>
  </si>
  <si>
    <t>7E4G</t>
  </si>
  <si>
    <t>Higuchi et al., PNAS, 2019</t>
  </si>
  <si>
    <t>SzR4</t>
  </si>
  <si>
    <t>MEQIIFYLGIGMFILSTIMFFFLKKKNAKLASINIIVSFVTIVSYILMLSGLFTLSATSGDTIYWTRWAFYAVSCSFLMVEISYLLRIDNTTRLEILVFNSMVMITGLFASISEDLYKWLFFIISSVAYLNVLFLIAKNRSEKKAIILFVAIFWSGFPIVWILSPAGLMVLNAFWTALFYLVLDFITKIYFGFHTTFKH</t>
  </si>
  <si>
    <t>A0A524F8J2</t>
  </si>
  <si>
    <t>199.0</t>
  </si>
  <si>
    <t>O2d97ab806</t>
  </si>
  <si>
    <t>SzR4_Promethearchaeati archaeon</t>
  </si>
  <si>
    <t>Candidatus Nanosalina sp. J07AB43</t>
  </si>
  <si>
    <t>6EYU</t>
  </si>
  <si>
    <t>Shevchenko et al., Sci. Adv., 2017</t>
  </si>
  <si>
    <t>NsXeR</t>
  </si>
  <si>
    <t>MVYEAITAGGFGSQPFILAYIITAMISGLLFLYLPRKLDVPQKFGIIHFFIVVWSGLMYTNFLNQSFLSDYAWYMDWMVSTPLILLALGLTAFHGADTKRYDLLGALLGAEFTLVITGLLAQAQGSITPYYVGVLLLLGVVYLLAKPFREIAEESSDGLARAYKILAGYIGIFFLSYPTVWYISGIDALPGSLNILDPTQTSIALVVLPFFCKQVYGFLDMYLIHKAELEHH</t>
  </si>
  <si>
    <t>G0QG75</t>
  </si>
  <si>
    <t>O749a1a243</t>
  </si>
  <si>
    <t>NsXeR_Candidatus Nanosalina sp. J07AB43</t>
  </si>
  <si>
    <t>Bacillus coahuilensis</t>
  </si>
  <si>
    <t>7ZMY</t>
  </si>
  <si>
    <t>Kovalev et al., NSMB, 2023</t>
  </si>
  <si>
    <t>BcXeR</t>
  </si>
  <si>
    <t>ISILHYGYSFIMLLGALYFYLLSKDPKGVPASEYLIAMVIPLWSGAAYLSIALGQGLFQYDDTTIYYARYIDWVISTPLLLAALALTAMFGGKKNLTLLFSLVALDVFMIITGFVADLSIGTTKYIWYSLGVIALIIILVITFGPLRRIALSNGTRLARHYTRVAIYLSALWVCYPTAWLLGPSGLGLAQELTEVLVFIILPIFSVGFSIVDLHGLRKLHQS</t>
  </si>
  <si>
    <t>O5f94e204e</t>
  </si>
  <si>
    <t>BcXeR_Bacillus coahuilensis</t>
  </si>
  <si>
    <t>ChRWR, ChEF</t>
  </si>
  <si>
    <t>Chimera between CrChR1 and CrChR2 (Chlamydomonas reinhardtii)</t>
  </si>
  <si>
    <t>Synthetic</t>
  </si>
  <si>
    <t>non-selective cation channel</t>
  </si>
  <si>
    <t>Kato et al., Nature, 2012</t>
  </si>
  <si>
    <t>C1C2</t>
  </si>
  <si>
    <t>O19e2c6a0f</t>
  </si>
  <si>
    <t>ChRWR_ChEF</t>
  </si>
  <si>
    <t>ChRWR</t>
  </si>
  <si>
    <t>Cation channel (non-selective)</t>
  </si>
  <si>
    <t>C1C2_Chimera between CrChR1 and CrChR2 (Chlamydomonas reinhardtii)</t>
  </si>
  <si>
    <t>ChR2</t>
  </si>
  <si>
    <t>6EID</t>
  </si>
  <si>
    <t>Volkov et al., Science, 2017</t>
  </si>
  <si>
    <t>CrChR2</t>
  </si>
  <si>
    <t>EDQCYCAGWIESRGTNGAQTASNVLQWLAAGFSILLLMFYAYQTWKSTCGWEEIYVCAIEMVKVILEFFFEFKNPSMLYLATGHRVQWLRYAEWLLTCPVILIHLSNLTGLSNDYSRRTMGLLVSDIGTIVWGATSAMATGYVKVIFFCLGLCYGANTFFHAAKAYIEGYHTVPKGRCRQVVTGMAWLFFVSWGMFPILFILGPEGFGVLSVYGSTVGHTIIDLMSNCWGLLGHYLRVLIHEHILIHGDI</t>
  </si>
  <si>
    <t>Q8RUT8</t>
  </si>
  <si>
    <t>O97e0f3d51</t>
  </si>
  <si>
    <t>CrChR2_Chlamydomonas reinhardtii</t>
  </si>
  <si>
    <t>CnChR1</t>
  </si>
  <si>
    <t>Chlamydomonas noctigama</t>
  </si>
  <si>
    <t>proton-selective cation channel</t>
  </si>
  <si>
    <t>5ZIH</t>
  </si>
  <si>
    <t>Oda et al., Nat Commun., 2018</t>
  </si>
  <si>
    <t>Chrimson</t>
  </si>
  <si>
    <t>LFQTSYTLENNGSVICIPNNGQCFCLAWLHSRGTPGEKIGAQVCQWIAFSIAIALLTFYGFSATCGWEEVYVCCVEVLFVTLEIFKEFSSPATVYLSTGNHAYCLRYFEWLLSCPVILIKLSNLSGLKNDYSKRTMGLIVSCVGMIVFGMAAGLATDWLKWLLYIVSCIYGGYMYFQAAKCYVEANHSVPKGHCRMVVKLMAYAYFASWGSYPILWAVGPEGLLKLSPYANSIGHSICDIIAEFWTFLAHHLRIKIHEHILIHGDIRKTTKMEIGGEEVEVEEF</t>
  </si>
  <si>
    <t>Q8L435</t>
  </si>
  <si>
    <t>284.0</t>
  </si>
  <si>
    <t>Obeb84a16a</t>
  </si>
  <si>
    <t>Cation channel (proton-selective)</t>
  </si>
  <si>
    <t>Chrimson_Chlamydomonas noctigama</t>
  </si>
  <si>
    <t>Organic Lake phycodnavirus</t>
  </si>
  <si>
    <t>non-selective cation channel??</t>
  </si>
  <si>
    <t>7AKY</t>
  </si>
  <si>
    <t>Zabelskii et al., Nat Commun., 2020</t>
  </si>
  <si>
    <t>OLPVR1</t>
  </si>
  <si>
    <t>DNIIMTAYISIFVQIITAIISVYGLFIPLNFKDIILREILILELIVQIIEFIFYIWLIITLQSINEDITYVRYFDWVLTTPVMLLTTVYFFEYMNSDDGIRKKEINDRDYVYLFYICLSNFFMLLIGYLGETKQINKMLTLFGGSFFLFLTFYLLYVKYTKENWMNYIVFYFMFLVWFLYGFAFMFPFSIKNQMYNILDIVSNIYSIFIFIVILNQSYKLLL</t>
  </si>
  <si>
    <t>F2Y337</t>
  </si>
  <si>
    <t>O399cbde7c</t>
  </si>
  <si>
    <t>OLPVR1_Organic Lake phycodnavirus</t>
  </si>
  <si>
    <t>Klebsormidium nitens</t>
  </si>
  <si>
    <t>not uploaded yet???</t>
  </si>
  <si>
    <t>KnChR</t>
  </si>
  <si>
    <t>O5f6a97035</t>
  </si>
  <si>
    <t>KnChR_Klebsormidium nitens</t>
  </si>
  <si>
    <t>Tetraselmis striata</t>
  </si>
  <si>
    <t>manuscript in preparation</t>
  </si>
  <si>
    <t>TsChR</t>
  </si>
  <si>
    <t>Obf13677c6</t>
  </si>
  <si>
    <t>TsChR_Tetraselmis striata</t>
  </si>
  <si>
    <t>Chloromonas oogama</t>
  </si>
  <si>
    <t>CoChR</t>
  </si>
  <si>
    <t>Oefdf6b4ff</t>
  </si>
  <si>
    <t>CoChR_Chloromonas oogama</t>
  </si>
  <si>
    <t>ChroME2s</t>
  </si>
  <si>
    <t>O8a4fbf69b</t>
  </si>
  <si>
    <t>ChroME2s_nan</t>
  </si>
  <si>
    <t>bReaChES</t>
  </si>
  <si>
    <t>O3b3277cc0</t>
  </si>
  <si>
    <t>bReaChES_nan</t>
  </si>
  <si>
    <t>CnChR2</t>
  </si>
  <si>
    <t>Obae8eab0e</t>
  </si>
  <si>
    <t>CnChR2_Chlamydomonas noctigama</t>
  </si>
  <si>
    <t>Rhodomonas lens</t>
  </si>
  <si>
    <t>monovalent-selective cation channel</t>
  </si>
  <si>
    <t>7W9W</t>
  </si>
  <si>
    <t>Kishi et al., Cell, 2022</t>
  </si>
  <si>
    <t>ChRmine</t>
  </si>
  <si>
    <t>MFYVGTMDGWYLDTKLNSVAIGAHWSCFIVLTITTFYLGYESWTSRGPSKRTSFYAGYQEEQNLALFVNFFAMLSYFGKIVADTLGHNFGDVGPFIIGFGNYRYADYMLTCPMLVYDLLYQLRAPYRVSCSAIIFAILMSGVLAEFYAEGDPRLRNGAYAWYGFGCFWFIFAYSIVMSIVAKQYSRLAQLAQDTGAEHSLHVLKFAVFTFSMLWILFPLVWAICPRGFGWIDDNWTEVAHCVCDIVAKSCYGFALARFRKTYDEELFRLL</t>
  </si>
  <si>
    <t>270.0</t>
  </si>
  <si>
    <t>Oc71658a15</t>
  </si>
  <si>
    <t>Cation channel (monovalent-selective)</t>
  </si>
  <si>
    <t>ChRmine_Rhodomonas lens</t>
  </si>
  <si>
    <t>cation channel with high calcium permeability</t>
  </si>
  <si>
    <t>CapChR2</t>
  </si>
  <si>
    <t>Ob25d6274f</t>
  </si>
  <si>
    <t>CapChR2_nan</t>
  </si>
  <si>
    <t>monovalent-selective cation channel??</t>
  </si>
  <si>
    <t>8YEJ</t>
  </si>
  <si>
    <t>Tanaka et al., Mol Cell., 2024</t>
  </si>
  <si>
    <t>GtCCR2</t>
  </si>
  <si>
    <t>ASSAVITANWISFLAISASFIILLVISLRYKGPGGTESFYNGFKEQNMLTVFINLWCALAYFAKVLQSHSNDNGFAPLTVIPYVDYCTTCPLLTLDLLWCLDAPYKISSAVLVFTCLVIAVACSLAVAPFSYCWFAMGMVLFTFTYVFILSIVRQRLDFFTLCARDSNAKQSLKHLKTAVFIYFGIWLLFPLLWLLSYRAANVISNDINHIFHCILDVIAKSVYGFALLYFKMYFDKKLI</t>
  </si>
  <si>
    <t>L1K1K8</t>
  </si>
  <si>
    <t>O2604f4196</t>
  </si>
  <si>
    <t>GtCCR2_Guillardia theta</t>
  </si>
  <si>
    <t>8YEL</t>
  </si>
  <si>
    <t>GtCCR4</t>
  </si>
  <si>
    <t>APSLSDPNWQYGMGGWNNPRLPNFNLHDPTVIGVDWLGFLCLLGASLALMYKLMSFKGPDGDQEFFVGYREEKCLSIYVNLIAAITYWGRICAHFNNDMGLSLSVNYFKYLDYIFTCPILTLDLLWSLNLPYKITYSLFVGLTIACGVFCNAFEPPARYLWFMFGCFIFAFTWISIIRLVYARFQQFLNKIRAPLKLSLTLYFSIWCGYPALWLLTEFGAISQLAAHVTTVIMDVAAKSVYGFALLKFQLGVDKRDVWLDELKSV</t>
  </si>
  <si>
    <t>A0A3G1I4H9</t>
  </si>
  <si>
    <t>O6161ba550</t>
  </si>
  <si>
    <t>GtCCR4_Guillardia theta</t>
  </si>
  <si>
    <t>Hyphochytrium catenoides</t>
  </si>
  <si>
    <t>cation channel with high sodium permeability</t>
  </si>
  <si>
    <t>8GI9</t>
  </si>
  <si>
    <t>Morizumi et al., Nat Commun., 2023</t>
  </si>
  <si>
    <t>HcCCR</t>
  </si>
  <si>
    <t>IHDMDYPLLGAMAAICSVFIGGSGAWMLYRLDLGLGYSCKPHHSGYAPEANSFSALSCLVSGTIYAAKTFDFFDGGGTPFSFNWYWYLDYVFTCPLILLDVLYTLEIPHKLRFVFAVIITLWCGVAAFVTPSAFRFGYYAVGCVWFVPFSFSLLRHVKQRYQVYPPKCQKLLFWACTIFFGFWPLFPILFLFSWLGTGHIDQQAFTIIHAFLDLFCKTVFGLIMTFFRLELEEHTEVLGL</t>
  </si>
  <si>
    <t>O2cb3d682d</t>
  </si>
  <si>
    <t>HcCCR_Hyphochytrium catenoides</t>
  </si>
  <si>
    <t>potassium-selective cation channel</t>
  </si>
  <si>
    <t>8H86</t>
  </si>
  <si>
    <t>Tajima et al., Cell, 2023</t>
  </si>
  <si>
    <t>HcKCR1</t>
  </si>
  <si>
    <t>SRPPEGWPKGSINDMDYPLLGSICAVCCVFVAGSGIWMLYRLDLGMGYSCKPYKSGRAPEVNSLSGIICLLCGTMYAAKSFDFFDGGGTPFSLNWYWYLDYVFTCPLLILDFAFTLDLPHKIRYFFAVFLTLWCGVAAFVTPSAYRFAYYALGCCWFTPFALSLMRHVKERYLVYPPKCQRWLFWACVIFFGFWPMFPILFIFSWLGTGHISQQAFYIIHAFLDLTCKSIFGILMTVFRLELEEHTEVQGLPLNE</t>
  </si>
  <si>
    <t>Od8d174bad</t>
  </si>
  <si>
    <t>Cation channel (K+)</t>
  </si>
  <si>
    <t>HcKCR1_Hyphochytrium catenoides</t>
  </si>
  <si>
    <t>8H87</t>
  </si>
  <si>
    <t>HcKCR2</t>
  </si>
  <si>
    <t>PFYDSRPPEGWPRGSVNDMDYPLLGSICAISAIAIAGSGIWMLYRLDLGMGYSCKPYKSGRAPEVNSISGIVCLLCGTMYAAKSFDFFDGGGTPFSLNWYWYLDYVFTCPLLIVDFAFTLDIPQKLRYSIAVFVALWCAVAAFATPSAFRFAYYALGCCWFIPLSLFLIRDVKKRYQVYPPKCQRLLFWACVVFFGFWPLFPLLFIFSWQGSGHISRQAYYIIHAFLDLVCKSIFGFLMTFFRLELEEHTEVQGLPLKE</t>
  </si>
  <si>
    <t>Ob66609a1c</t>
  </si>
  <si>
    <t>HcKCR2_Hyphochytrium catenoides</t>
  </si>
  <si>
    <t>Bilabrum sp.</t>
  </si>
  <si>
    <t>8JXO</t>
  </si>
  <si>
    <t>Zhang et al., bioRxiv, 2023</t>
  </si>
  <si>
    <t>B1ChR2</t>
  </si>
  <si>
    <t>SECCELCVCQKEPGTFGALIAVNTITAIILVAAGAYMAWKTAAGLGWNTRPHGPEGPPEENWLSPGISILCGVMYAFKAIDWASYNDTGESTAFSLNQVWYSDYLITCPLLVLDFCITVNLRYKLVFSSSIACLLAIAVSTFIVDAPYRYYMYGIGLAGFICAGYALWNEINAQREKIPDSAWWYLSAGRLIFFAGWPFFPLLWTLSFHTSGVINEEWYFILHAILDILCKAVFGFFMLGFRLELEELDFKAIEAEQAKLEG</t>
  </si>
  <si>
    <t>262.0</t>
  </si>
  <si>
    <t>Oc7b6307ea</t>
  </si>
  <si>
    <t>B1ChR2_Bilabrum sp.</t>
  </si>
  <si>
    <t>Guillardia theta CCMP2712</t>
  </si>
  <si>
    <t>non-selective anion channel</t>
  </si>
  <si>
    <t>6CSM</t>
  </si>
  <si>
    <t>Kim et al., Nature, 2018</t>
  </si>
  <si>
    <t>GtACR1</t>
  </si>
  <si>
    <t>ITCDPAIYGEWSRENQFCVEKSLITLDGIKYVQLVMAVVSACQVFFMVTRAPKVPWEAIYLPTTEMITYSLAFTGNGYIRVANGKYLPWARMASWLCTCPIMLGLVSNMALVKYKSIPLNPMMIAASSICTVFGITASVVLDPLHVWLYCFISSIFFIFEMVVAFAIFAITIHDFQTIGSPMSLKVVERLKLMRIVFYVSWMAYPILWSFSSTGACIMSENTSSVLYLLGDALCKNTYGILLWATTWGLLNGKWDRDYVKGRNVDGTLMPEYEQDLE</t>
  </si>
  <si>
    <t>L1J207</t>
  </si>
  <si>
    <t>277.0</t>
  </si>
  <si>
    <t>O7cf72b75d</t>
  </si>
  <si>
    <t>Anion channel (non-selective)</t>
  </si>
  <si>
    <t>GtACR1_Guillardia theta CCMP2712</t>
  </si>
  <si>
    <t>6CSN</t>
  </si>
  <si>
    <t>Kato et al., Nature, 2018</t>
  </si>
  <si>
    <t>iC++</t>
  </si>
  <si>
    <t>LFQTSYTLENQGSVICIPNNGQCFCLAWLKSNGTNAEKLAANILQWISFALSALCLMFYGYTCGWENIYVATIQMIKFIIEYFHSFDEPAVIYSSNGNKTRWLRYASWLLTCPVILIHLSNLTGLANDYNKRTMGLLVSDIGTIVWGTTAALSKGYVRVIFFLMGLCYGIYTFFNAAKVYIEAYHTVPKGRCRQVVTGMAWLFFVSWGMFPILFILGPEGFGVLSRYGSNVGHTIIDLMSKQCWGLLGHYLRVLIHSHILIHGDIRKTTKLIEVETLVEDE</t>
  </si>
  <si>
    <t>281.0</t>
  </si>
  <si>
    <t>iC</t>
  </si>
  <si>
    <t>Ofb67d07bc</t>
  </si>
  <si>
    <t>iC_nan</t>
  </si>
  <si>
    <t>A1ACR1</t>
  </si>
  <si>
    <t>Of6b7f6545</t>
  </si>
  <si>
    <t>A1ACR1_nan</t>
  </si>
  <si>
    <t>R2ACR</t>
  </si>
  <si>
    <t>Oe3783959a</t>
  </si>
  <si>
    <t>R2ACR_nan</t>
  </si>
  <si>
    <t>ion channel</t>
  </si>
  <si>
    <t>SmChR</t>
  </si>
  <si>
    <t>O9a4733218</t>
  </si>
  <si>
    <t>Ion channel</t>
  </si>
  <si>
    <t>SmChR_nan</t>
  </si>
  <si>
    <t>NpSRII, pharaonis phoborhodopsin, ppR</t>
  </si>
  <si>
    <t>Natronomonas pharaonis</t>
  </si>
  <si>
    <t>regulation of transducer</t>
  </si>
  <si>
    <t>1JGJ</t>
  </si>
  <si>
    <t>Luecke et al., Science, 2001</t>
  </si>
  <si>
    <t>sensory rhodopsin 2</t>
  </si>
  <si>
    <t>MVGLTTLFWLGAIGMLVGTLAFAWAGRDAGSGERRYYVTLVGISGIAAVAYAVMALGVGWVPVAERTVFVPRYIDWILTTPLIVYFLGLLAGLDSREFGIVITLNTVVMLAGFAGAMVPGIERYALFGMGAVAFIGLVYYLVGPMTESASQRSSGIKSLYVRLRNLTVVLWAIYPFIWLLGPPGVALLTPTVDVALIVYLDLVTKVGFGFIALDAAA</t>
  </si>
  <si>
    <t>P42196</t>
  </si>
  <si>
    <t>sensory_rhodopsin_2</t>
  </si>
  <si>
    <t>Oef5d07a27</t>
  </si>
  <si>
    <t>NpSRII</t>
  </si>
  <si>
    <t>Regulation</t>
  </si>
  <si>
    <t>sensory_rhodopsin_2_Natronomonas pharaonis</t>
  </si>
  <si>
    <t>Anabaena Sensory Rhodopsin</t>
  </si>
  <si>
    <t>Nostoc sp. PCC 7120 = FACHB-418</t>
  </si>
  <si>
    <t>regulation of transducer??</t>
  </si>
  <si>
    <t>1XIO</t>
  </si>
  <si>
    <t>Vogeley et al., Science, 2004</t>
  </si>
  <si>
    <t>ASR</t>
  </si>
  <si>
    <t>MNLESLLHWIYVAGMTIGALHFWSLSRNPRGVPQYEYLVAMFIPIWSGLAYMAMAIDIAHYARYIDWMVTTPLLLLSLSWTAMQFIKKDWTLIGFLMSTQIVVITSGLIADLSERDWVRYLWYICGVCAFLIILWGIWNPLRAKTRTQSSELANLYDKLVTYFTVLWIGYPIVWIIGPSGFGWINQTIDTFLFCLLPFFSKVGFSFLDLHGLRNLND</t>
  </si>
  <si>
    <t>Q8YSC4</t>
  </si>
  <si>
    <t>O1a3cf7bfb</t>
  </si>
  <si>
    <t>ASR_Nostoc sp. PCC 7120 = FACHB-418</t>
  </si>
  <si>
    <t>Salpingoeca rosetta</t>
  </si>
  <si>
    <t>regulation of phosphodiesterase</t>
  </si>
  <si>
    <t>7CJ3</t>
  </si>
  <si>
    <t>Ikuta et al., Nat. Commun., 2020</t>
  </si>
  <si>
    <t>RhPDE (TM domain)</t>
  </si>
  <si>
    <t>ASTKEVQWQGIFMIIVWLCVMGSLIFFANPEASRRVFAKFSHLQSFYGATSVAFAFATGLDILAYVNAVSDEKRVLSGILAYVDGVACISYLSMATLNLYFLVDSTQGNPVWLMRYAEWIITCPTLLYWCGLASRADRSSVSDIATADALLLAGGALSSILPSWPAFFVFAGSFATYIYVMLHMWGMFGKAMQPDFQPPPPLPRHALHLLRCEIVMSWSIFPLVEFLRRQGYIDFQVGEAMNCVADYAAKVGLAMIMVNCNLEQ</t>
  </si>
  <si>
    <t>F2TZN0</t>
  </si>
  <si>
    <t>264.0</t>
  </si>
  <si>
    <t>RhPDE_TM_domain</t>
  </si>
  <si>
    <t>O3c52fc2e7</t>
  </si>
  <si>
    <t>RhPDE_TM_domain_Salpingoeca rosetta</t>
  </si>
  <si>
    <t>BestR, Bestrhodopsin</t>
  </si>
  <si>
    <t>Phaeocystis</t>
  </si>
  <si>
    <t>regulation of ion channel</t>
  </si>
  <si>
    <t>7PL9</t>
  </si>
  <si>
    <t>Tara-RRB</t>
  </si>
  <si>
    <t>SDLNFAQVARDEGRRCLLMCVAFAIAIAHLYIYPALFGVRIVDQAEVPAEERTYFHHGWTAMLVIFFIEGVTVFLKVCSTRKTRWLEKAVLQKLDGNIGVLIGEYIVVAATYIIMGANLIPVFERSGRRVYAVRYMEWTIDACGLVYLDCRILFGMPFSKFRMLLVYSVLYMLFGLWAALASTWMWYAIFLSASWFFFGLVCYYYWTFHRQNPSPLQQFGRAPIKQAILVFVIVWWVLYGVLFMLCFQAPDVVPQWLEQLLWTGMDVVMKLSHTVVLMAWRETQWEIDAVVDRQKVEAGRAIAQLDHQRAIHERDLVRLRSRVYYFARVNKIFMREAGLCLVLCLAFVVALLHLPVYSEWFGVEVLDAEAVPHDELGFFHHGWTTMLVVFLIESITVLLKVWSTWHDPRLAENVAQQLSGNLGVLIAEYLVVGATYVILGYNLMPVFVVHRPGVASRRVYAVRYMEWAVDATGLIWLDCHCLFSRNFNEFRMAIVWTVAYMLFGLWSALASTWAWYWAFLLASWAAFLIVCLILVRFLRQDPYPHQPFGKTSVKPCILAFIIGWWVLYGILFMVCFQAPDAVPQWLEQFLWTGMDVVMKLSHTVVLMAWRTTEWNVCELHGRNSTNWTATPGLRVDLSSMVRLEGQLAQGLVTDVHRKGMMRSEDLAELKRLEESGFLQAQQHRNWESQTREMTFLAHGINHIAYDPRSWMKTLTAVRGRAPTSFLLWVVLIESSIVLALSKFFGESFDLGVSSGIHSLFGVLVSFLVVFRTQAAFKKWWSGRSAVSSLVQMSRTFAQQVCAYVKDEAYVNRMVRYSIATVVATRCHLRNTRIDPAMLLGVLKEEEIEELNRQKNLPFYTAWVIRSTLAEAVAEGACLPLHMAIENAIKAIEQSIADAERLLTPMPFTYVVHVRTFLFIYLMGLPFILVEDLGWLMLVAVSFLGYLMIGLENTAVQLENPFGTDCNHHPLDLYCLEVSQDLLHLLDLRASAKAQ</t>
  </si>
  <si>
    <t>994.0</t>
  </si>
  <si>
    <t>349.0</t>
  </si>
  <si>
    <t>1.0</t>
  </si>
  <si>
    <t>Tara_RRB</t>
  </si>
  <si>
    <t>O3b4905d95</t>
  </si>
  <si>
    <t>Tara_RRB_Phaeocystis</t>
  </si>
  <si>
    <t>unknown?</t>
  </si>
  <si>
    <t>6SQG</t>
  </si>
  <si>
    <t>Bratanov et al., Nat Commun., 2019</t>
  </si>
  <si>
    <t>OLPVRII</t>
  </si>
  <si>
    <t>MSDLIEYSFYLTYAFLMTTGTITFIEALRTKNESVRHILNLETCISVVAAFFYSNFIGKLEHINYEEINLNRYVDWAITTPIMLLVLVLAFRVNQTNKAMVKFSDFMIILGMNYGMLGTGYLGDIGVIHKTMGTVLGFLFFGGLFYKLNTLRTSNASNDLLYGAFFVLWALYGVFYQMEQLPRNVGYNVLDLFSKCFVGIYFWAFYAKIFTL</t>
  </si>
  <si>
    <t>F2Y2Z0</t>
  </si>
  <si>
    <t>212.0</t>
  </si>
  <si>
    <t>O30b5a6c0d</t>
  </si>
  <si>
    <t>Unknown</t>
  </si>
  <si>
    <t>OLPVRII_Organic Lake phycodnavirus</t>
  </si>
  <si>
    <t>7AKW</t>
  </si>
  <si>
    <t>O1O2</t>
  </si>
  <si>
    <t>MDNIIMTAYISIFVQIITAIISVYGLFIPLNFKDIILREILILELIVQIIEFIFYIWLIITLQSINEDITYVRYFDWVLTTPVMLLTTVYFFEYMNSDDGIRKKEINDRDYVYLFYICLSNFFMLLIGYLGETKQINKMLTLFGGSFFLFLTFYLLYVKYTKENWMNYLVFGAMFLLWALYGFAFMFPFSIKNQMYNILDIFSKNFVSIFFFIVILNQSYKLL</t>
  </si>
  <si>
    <t>O88f14d079</t>
  </si>
  <si>
    <t>O1O2_nan</t>
  </si>
  <si>
    <t>HwMR</t>
  </si>
  <si>
    <t>8WEW</t>
  </si>
  <si>
    <t>Yang, et al., Research Square, 2024</t>
  </si>
  <si>
    <t>middle rhodopsin</t>
  </si>
  <si>
    <t>TPGSEATWLWIGTIGMVLGTVYFAVRGRGSTDPEQQTYYIITTLIPAIAAAAYLAMATGLGVISMPIRGTEVIDIYWARYADWLLTTPLLIIDLALVAGARKQTLYKLIIIDAIMILGGLAGSMMQQGAVIRIVWWAVSTAAFIILLYYLLGELSERARSRSAETGIVFNRLRNITLGLWALYPIVWILGTGGGFGIIAVTTEIMLYVMLDIGTKIGFGAVLLESQDVLQAAS</t>
  </si>
  <si>
    <t>Q18DH5</t>
  </si>
  <si>
    <t>233.0</t>
  </si>
  <si>
    <t>middle_rhodopsin</t>
  </si>
  <si>
    <t>O03f6a8412</t>
  </si>
  <si>
    <t>middle_rhodopsin_Haloquadratum walsbyi DSM 16790</t>
  </si>
  <si>
    <t>Thermoplasmatales archaeon SG8-52-1</t>
  </si>
  <si>
    <t>unknown</t>
  </si>
  <si>
    <t>6IS6</t>
  </si>
  <si>
    <t>Shihoya et al., Nature, 2019</t>
  </si>
  <si>
    <t>TaHeR</t>
  </si>
  <si>
    <t>NEEINFRKFRIFNGIMGVIHLIQVFLVLYLSNNFSLPITVNKPVYNEITNSISPVAETLFSIEIGPLVAMFLFISATAHILIATVLYYRYVQNLKNHMNPYRWFEYSISASFMIVIIAMLTTIYDLGTLLALFTLTAVMNLMGLMMELHNQTTQNTNWTSYIIGCIAGFVPWIVIFIPLISAESVPDFVIYIFISIAIFFNCFAINMYLQYKKIGKWKNYLHGEKVYIILSLVAKSALAWQVFAGTLRPM</t>
  </si>
  <si>
    <t>A0A151EDA9</t>
  </si>
  <si>
    <t>O045398c58</t>
  </si>
  <si>
    <t>TaHeR_Thermoplasmatales archaeon SG8-52-1</t>
  </si>
  <si>
    <t>Actinomycetes bacterium</t>
  </si>
  <si>
    <t>6SU3</t>
  </si>
  <si>
    <t>Kovalev et al., PNAS, 2019</t>
  </si>
  <si>
    <t>48C12</t>
  </si>
  <si>
    <t>KPTVKEIKSLQNFNRIAGVFHLLQMLAVLALANDFALPMTGTYLNGPPGTTFSAPVVILETPVGLAVALFLGLSALFHFIVSSGNFFKRYSASLMKNQNIFRWVEYSLSSSVMIVLIAQICGIADIVALLAIFGVNASMILFGWLQEKYTQPKDGDLLPFWFGCIAGIVPWIGLLIYVIAPGSTSDVAVPGFVYGIIISLFLFFNSFALVQYLQYKGKGKWSNYLRGERAYIVLSLVAKSALAWQIFSGTLIPALE</t>
  </si>
  <si>
    <t>A0A2R4S913</t>
  </si>
  <si>
    <t>256.0</t>
  </si>
  <si>
    <t>O7f283e8ce</t>
  </si>
  <si>
    <t>48C12_Actinomycetes bacterium</t>
  </si>
  <si>
    <t>Pyrenophora_ter_RD2</t>
  </si>
  <si>
    <t>Pyrenophora ter</t>
  </si>
  <si>
    <t>https://doi.org/10.1016/j.bbabio.2011.07.005</t>
  </si>
  <si>
    <t>RTADIAITTHGSDFYFAICSVMGFAGFAFIILGQRKARRDRLFHYLTAAVVFVAAIAYFTMGSNLGFTPIRVEFFRSDPKVSGTYRAVYYARYIDWFITTPLLLLDLLLTAGTPWPTTLFVIAIDEIMIVTGLIGALVDNRYKWAYFVFGCVALFYIVYHLVWESRLQAKKFGRDVERCFLMCGSLTAFLWILYPIAWGICEGANLIAPDSEAVFYGVLDFLAKPIFGALLLWGHRDIDPARLGLAIRDYDGDAVVHEKVKPAQNHSAAPPVDATV</t>
  </si>
  <si>
    <t>O982701619</t>
  </si>
  <si>
    <t>No</t>
  </si>
  <si>
    <t>Pyrenophora_ter_RD2_Pyrenophora ter</t>
  </si>
  <si>
    <t>Pyrenophora_trit_RD2</t>
  </si>
  <si>
    <t>Pyrenophora tritici</t>
  </si>
  <si>
    <t>RTADIAITTHGSDFYFAICAVMGFAGFAFVILGQRKARRDRLFHYLTAAVVFVAAIAYFTMGSNLGFTPIRVEFFRDDSVVRGTYRAVYYARYIDWFITTPLLLLDLLLTAGTPWPTTMFVIAVDEIMIITGLIGALIDNRYKWAYFVFGCVALFYIVYHLVWESRLQAKKFGRDVERCFLMCGSLTAFLWLLYPIAWGVCEGANLVAPDSEAVFYGVLDFLAKPIFGALLLWGHRDIDPARLGLAIRDYDGDAVVHEKVKPAQNHSAAPPVDATV</t>
  </si>
  <si>
    <t>Ocf19bcffe</t>
  </si>
  <si>
    <t>Pyrenophora_trit_RD2_Pyrenophora tritici</t>
  </si>
  <si>
    <t>Alternaria_RD2</t>
  </si>
  <si>
    <t>Alternaria RD2</t>
  </si>
  <si>
    <t>ATADIAITTHGSDFYFAICAVMGFSGFCFLGLAYRKQRRDRLFHYITASVVFVACIAYFTMGSNLGFTPIAVEFARSDPKIAGTYRSVYYVRYIDWFITTPLLLLDLLLTAGMPWPTLLWVIMVDEIMIVTGLIGALIDNRYKWAYFVFGCVALFYIVYQLAWESRIHAKSFGRDVERTFMMCGSLTTLLWILYPVAWGVCEGANLIAPDSEAVFYGVLDFLAKPCFGALLLWGHKGIDPARLGLSITDYDGDAMVHEKRNPNTVNNDQTATHPDGYNGTA</t>
  </si>
  <si>
    <t>Oa08e6af07</t>
  </si>
  <si>
    <t>Alternaria_RD2_Alternaria RD2</t>
  </si>
  <si>
    <t>Bipolaris_RD2</t>
  </si>
  <si>
    <t>Bipolaris RD2</t>
  </si>
  <si>
    <t>RTADIGLTTHGSNFYFSICAVMTVAGFVFAAMSYRIERRNRIFHYITCGVVFVAAIAYFTMGANLGFTPIEVEFRRSDPVVRGTYRAIYYARYVDWFITTPLLLMDLLLTAGMPWPTILWVILVDEIMIVTGLIGALIQSIYKWPFFVFGCVALFYIVFQLTWEARIHSKTFGRDVERTFLMCGSLTAFLWILYPIAWGLSEGGNVIAPDSEAVFYGVLDFLAKPVFGALLLWGHRNIDPARLGLQIRDYNDDTMLQEKRAKDAAAHNGQNVVNPPHDGPA</t>
  </si>
  <si>
    <t>O748bd2fcd</t>
  </si>
  <si>
    <t>Bipolaris_RD2_Bipolaris RD2</t>
  </si>
  <si>
    <t>Cochliobolus_RD2</t>
  </si>
  <si>
    <t>Cochliobolus RD2</t>
  </si>
  <si>
    <t>RTADIGLTTHGSDFYFSICVVMTVAGFAFAAMSYRIERRNRLFHYITCGVVFVAAIAYFTMGANLGFTPIEVEFRRNNPVVRGTYRAVYYARYVDWFITTPLLLMDLLLTAGMPWPTILWVILVDEIMIVTGLIGALIQSIYKWPFFVFGCAALFYIVFQLTWEARIHSKTFGRDVERTFLMCGSLTAFLWILYPVAWGLSEGGNVIAPDSEAVFYGVLDFLAKPVFGALLLWGHRNIDPARLGLQIRDYNDDTMLQEKRVKDAAAHNGQNVVNPPHDGPA</t>
  </si>
  <si>
    <t>Oab8ad6dc0</t>
  </si>
  <si>
    <t>Cochliobolus_RD2_Cochliobolus RD2</t>
  </si>
  <si>
    <t>Leptosphaeria_RD2</t>
  </si>
  <si>
    <t>Leptosphaeria RD2</t>
  </si>
  <si>
    <t>RTADINITSDGSSFYFAICAVMGASGFAFLFLASRRKRTDRVFHYLTAAVVFVACIAYFSMGSNLGFTPIEVEYKRSDPVVRGNFRGIFYVRYIDWVITTPLLLLDLLLTAGMPWPTIIFVILIDEIMIVTGLVGALVVSSYKWGFFAFGCAALVYVVYQLVWESRRHSKFFGRDVERTFLLCGSLTSFLWILYPVAWGLCEGGNVISPDSEAVFYGVLDFLAKPIFGALLIWGHRNVDPARLGLAIRDYGDADAVVHEKRAPAVHPDGPINN</t>
  </si>
  <si>
    <t>O1433b2d67</t>
  </si>
  <si>
    <t>Leptosphaeria_RD2_Leptosphaeria RD2</t>
  </si>
  <si>
    <t>Phaeosphaeria_RD2</t>
  </si>
  <si>
    <t>Phaeosphaeria RD2</t>
  </si>
  <si>
    <t>RTADIAITDHGSDLYFAICAAMTVSGFVFIGLGMRKQRRDRIFHYLTAAVVFVAAIAYFTMGSNLGFTPIEVEFKRNNPVVRGNYRSIYYVRYIDWVITTPLLLTDLMLTAGMPWPSILWTIIVDEIMIITGLVGALVTSKYKWGYFAFGNLALVYIIYQLVWESRTHARHFGRDVERTFLMCGSLTAFLWILYPVAWGVAEGGNVISPDSEAIFYSILDFLAKPVFGALLIWGHRNIDPARLGLAIKDYDHDTSVSEKRKPDVAPGTTAAHNPPLDGPA</t>
  </si>
  <si>
    <t>O8dc87c8de</t>
  </si>
  <si>
    <t>Phaeosphaeria_RD2_Phaeosphaeria RD2</t>
  </si>
  <si>
    <t>Mycosphaerella_gr_RD2</t>
  </si>
  <si>
    <t>Mycosphaerella graminicola</t>
  </si>
  <si>
    <t>NPPDIGITVRGSDWYWAVCAIMTVATFAFVGLSITKPRQDRIFHYITASVTMVAAIAYFSMAAHLGWTEIDVEFVRSDPRVAGLTREIFYVRYIDWFITTPLLLIDLMLTAAMPWPTTLFVVLVDEVMIITGLVGALVSSSYKWGYFTFGCVALVYIVYVLVWEARKHANGVSSDAGKAFLYCGTLTAFLWTLYPIAWGVAEGGNIIAPDSEAVFYGILDVLAKPVFGALLIWGHRNISPAQLGLTIRDYNGTDAVIHEKRTGVANGNTSNVTHENAAAN</t>
  </si>
  <si>
    <t>O681d13371</t>
  </si>
  <si>
    <t>Mycosphaerella_gr_RD2_Mycosphaerella graminicola</t>
  </si>
  <si>
    <t>Mycosphaerella_fij_RD2</t>
  </si>
  <si>
    <t>Mycosphaerella fijiensis</t>
  </si>
  <si>
    <t>GSAQIGITVRGSDWYWTVCAVMTVATFAFIALSATKPRQDRIFHYITAGVTMVAAIAYFTMGSHLGFTPIDVEFARSGPKVAGVNREIYYVRYIDWFITTPLLLMDLMLTAAMPWPTTAWVILVDEVMIITGLVGALVSSSYKWGYFVFGCVALIWIVYVLVWEARKHAYGVSSDAGKAFMFCGSLTALLWTLYPIAWGVSEGGNVIAPDSEAVFYGILDILAKPGFGALLLWGHRNISPAQLGLSIRDYDGTDPVIHEKR</t>
  </si>
  <si>
    <t>Od8d3d3793</t>
  </si>
  <si>
    <t>Mycosphaerella_fij_RD2_Mycosphaerella fijiensis</t>
  </si>
  <si>
    <t>Cercospora_RD2</t>
  </si>
  <si>
    <t>Cercospora RD2</t>
  </si>
  <si>
    <t>ATADIALTVRGSDWYWAVCAVMTVATFAFLGMGMRKPRHDRIFHYITASVTMVAAIAYFSMGSHLGWTPINVEFERSDPRVAGLNREIYYVRYIDWFITTPLLLADLMLTAAMPWPTTAFVILVDEVMIITGLVGALVSSSYKWGYFTFGCVALGYIVYVLAWEARLHANGISSDAGKAFLYCGSLTAFLWILYPIAWGVCEGGNVIAVDSEAVFYGILDLLAKPVFGALLIWGHRNITPAQLGLTIHDYGGDDPVVHHEKSAGAPGHTGHPSENPALHNNG</t>
  </si>
  <si>
    <t>Of8598b28c</t>
  </si>
  <si>
    <t>Cercospora_RD2_Cercospora RD2</t>
  </si>
  <si>
    <t>Mycosphaerella_pop_RD2</t>
  </si>
  <si>
    <t>Mycosphaerella populicola</t>
  </si>
  <si>
    <t>GVAQIAITTHGSDFYFAVCAVMTVSTFAFLALGQMKPRAERIFYYITASVTMVAAIAYFTMGSHLGFTPIDVEYQRSNSRVAGVNREIYYARYIDWVITTPLLLIDLMLTAAMPWPSILFVILVDEVMIITGLIGALVASSYKWGYFVFGCVALVYIVYVLVWEARKHANGVSSDAGKTFLYCGSLTAFLWILYPVAWGVSEGGNIIAPDSEAVFYGILDLLAKPLFGALLIWGHRNISPAQLGLTIHDYGGEDPVIHEKNTGISHGHTGHPGDNPANVGVM</t>
  </si>
  <si>
    <t>O4f20ccff2</t>
  </si>
  <si>
    <t>Mycosphaerella_pop_RD2_Mycosphaerella populicola</t>
  </si>
  <si>
    <t>Dothistroma_RD2</t>
  </si>
  <si>
    <t>Dothistroma RD2</t>
  </si>
  <si>
    <t>ATADVALTTHGSDWYWAVCAVMTCSAFAFMGLAYTKPRRDRIFHYITAGVVMVAAIAYFTMASHLGWTPIVIEFQRSNPVVRGQTREIYYVRYIDWVITTPLLLMDLLLTAAMPWPTILWAILVDEVMIITGLVGALVASSYKWGYFVFGCVAMFWIIYILVWEARIHANAISTDAGRAFVICGSLTAFMWTLYPIAWGLSEGGNVISSDGEAAFYGVLDLIAKPVFGALLIWGHRNISPADLGLAIHDYGADEPIFHEKNHRNGNGPLADHSGATRPINSA</t>
  </si>
  <si>
    <t>Ofe0b62221</t>
  </si>
  <si>
    <t>Dothistroma_RD2_Dothistroma RD2</t>
  </si>
  <si>
    <t>Aureobasidium_RD</t>
  </si>
  <si>
    <t>Aureobasidium RD</t>
  </si>
  <si>
    <t>KTADIAITVRGSDWYWTVCAVMTTATFVFLGLGITKPRQHRIFHYITAAITMVAAIAYFSMGSNLGWTPIDVEFSRNNPVVRGVNREIFYVRYIDWFITTPLLLMDLLLTAAMPWPTLLFVVLVDEVMIVTGLVGALVRSSYKWGYFVFGCVALFYVVWVLVWEARRHANALGSDVGRAFTICGSLTTFLWILYPLAWGLCEGGNVISPDSEAIFYGILDLLAKPVFGALLIWGHRGIDPARLGLYIHDYDEKDPAVKDKVGAPGPNVHPNTNNAAAT</t>
  </si>
  <si>
    <t>O68d4cedd7</t>
  </si>
  <si>
    <t>Aureobasidium_RD_Aureobasidium RD</t>
  </si>
  <si>
    <t>Gibberella_mon_RD2</t>
  </si>
  <si>
    <t>Gibberella moniliforme</t>
  </si>
  <si>
    <t>QRSDINITVRGSDWYWAVCAVMTVSTFAFLGLGMRKPRTDRIFHYITAGITMIASIAYFTMASNLGWTPIAVEFQRSDHRVAGIYREIFYARYIDWFLTTPLLLTDLLLTAGMPWPTVLWVILVDWVMIVTGLVGALVKSSYKWGYFAFGCAALAYIVYVLAWEARLHAKHVGPDVGRTFVMCGSLTAVVWILYPIAWGVCEGGNLIAPDSEAVFYGILDLIAKPVFGALLLWGHRNIDPARLGLRIRDIDERIFPDGPNNKAASGHGARNDTA</t>
  </si>
  <si>
    <t>Oc6c24176e</t>
  </si>
  <si>
    <t>Gibberella_mon_RD2_Gibberella moniliforme</t>
  </si>
  <si>
    <t>Gibberella_fuj_RD2</t>
  </si>
  <si>
    <t>Gibberella fujikuroi</t>
  </si>
  <si>
    <t>QRSDINITVRGSDWYWAVCAVMTVSTFAFLGLGMRKPRTDRIFHYITAGITMIASIAYFTMASNLGWTPIAVEFQRSNHRVAGIYREIFYARYIDWFLTTPLLLTDLLLTAGMPWPTVLWVILVDWVMIVTGLVGALVKSSYKWGYFAFGCAALAYIVYVLAWEARLHAKHVGPDVGRTFVMCGSLTAVVWILYPIAWGVCEGGNLIAPDSEAVFYGILDLIAKPVFGALLLWGHRNIDPARLGLRIRDIDERIFPDGPNNKVASGHGARNDTAT</t>
  </si>
  <si>
    <t>O0a550378d</t>
  </si>
  <si>
    <t>Gibberella_fuj_RD2_Gibberella fujikuroi</t>
  </si>
  <si>
    <t>Fusarium_oxysp_RD2</t>
  </si>
  <si>
    <t>Fusarium oxysporum</t>
  </si>
  <si>
    <t>QRSDINITVRGSDWYWAVCAVMTVSTFAFLGLGMRKPRTDRIFQYITAGITMIASIAYFTMASNLGWTPIAVEFQRSDHRVAGIYREIFYARYIDWFLTTPLLLTDLLLTAGMPWPTVLWVILVDWVMIVTGLVGSLVKSSYKWGYFAFGCAALAYIVYVLAWEARLHAKHVGPDVGRTFVMCGSLTAVVWILYPIAWGVCEGGNLIAPDSEAVFYGILDLIAKPVFGALLLWGHRNIDPARLGLRIRDIDERIFPDGPNNKATSGHGARNDTA</t>
  </si>
  <si>
    <t>O53b89ff7e</t>
  </si>
  <si>
    <t>Fusarium_oxysp_RD2_Fusarium oxysporum</t>
  </si>
  <si>
    <t>Nectria_RD2</t>
  </si>
  <si>
    <t>Nectria RD2</t>
  </si>
  <si>
    <t>QSSDINLTTRGSDWYWAVCAVMTVATIAFIGTAWTKPRTDRIFHYITGGITMIAAISYFSMASNLGWTPIAVQFRRSDHRVAGVYREIFYVRYIDWFITTPLLLMDLLLTAGMPWPTVLWVILVDWVMIVTGLVGALVKSSYKWGYFAFGCAALAYIVYQLAWEARIHANRIGNDVGRVFLACGTITLIVWICYPIAWGVCEGGNIIAPDSEAVFYGILDLLAKPVFGAILLWGHRNIDPARLGLRIRDVTEGPVYPEGPGAQKRSVNEPAVGAGANGTQNP</t>
  </si>
  <si>
    <t>Ob3d15023d</t>
  </si>
  <si>
    <t>Nectria_RD2_Nectria RD2</t>
  </si>
  <si>
    <t>Gibberella_zeae_RD2</t>
  </si>
  <si>
    <t>Gibberella zeae</t>
  </si>
  <si>
    <t>ISTQINITPRGSDWYFTVCAVMTVSSIVFVGMGLRKPRTHRVFHYITASITMVAAIAYFTMGANLGWAPTEVEFHRRDHEVAGNYREIFYVRYIDWFITTPLLLMDLLLTAGMPWPTVLYVILVDEIMIVTGLVGALVTTSYKWGYFTIGCVALVYIVYQLAWEARIHANHVGPDVGRVFLWCGSLTAVVWILYPIAWGVCEGGNLISPDSEAVFYGILDIIAKPVFGAILLFGHRNIDPARLGLRIRDVNERIVPEGP NVKPGQQRNAGNVNAP</t>
  </si>
  <si>
    <t>Oa7400684d</t>
  </si>
  <si>
    <t>Gibberella_zeae_RD2_Gibberella zeae</t>
  </si>
  <si>
    <t>Hysterium_RD2</t>
  </si>
  <si>
    <t>Hysterium RD2</t>
  </si>
  <si>
    <t>QTAEIAITVRGSDFYWAICSAMGLATLLFLAHAFTKPRSHRIFNYITAGITMVAFIAYYSMASNLGWTPIQVEYQRSDHRVSGMYREIFYVRYIDWFITTPLLLLDLLLTAGMPWPTVMWIILVDEVMIVTGLVGALVRTRYKWGYFVFGCAALAYIMYHLAWESRRNASRLGNDIGRVFLMCGSLTLVWVWLYPIAWGVCEGGNVISPDSEAVFYGILDFIAKPVFGTMLLLGHRNIDPARLGLQIRDYDEDLSVHGGLGRGEKRTPNAPLDGPA</t>
  </si>
  <si>
    <t>O87660394b</t>
  </si>
  <si>
    <t>Hysterium_RD2_Hysterium RD2</t>
  </si>
  <si>
    <t>Rhytidhysteron_RD2</t>
  </si>
  <si>
    <t>Rhytidhysteron RD2</t>
  </si>
  <si>
    <t>RRAEIAITIRGSDFYWAICSLMGFATLCFLGLSLTKPRTHRIFHYITAGITMVAFIAYFSMAANLGWVPIAVEFSRSDPKVAGAYREIFYVRYIDWFITTPLLLLDLLLTAGMPWPTVLWVILVDWAMIVTGLVGALVQSRYKWGYFTFGCVALFYIIYQLAWEARRHATKLGEDVGRAFLYCGSLTLVLWICYPIAWGVCEGGNVIAPDSEAVFYGVLDFLAKPVFGALLMFGHRNIDPGRLGLRIRDYDEDPSIHGGVSGREKALHQNGTNEAQAVGGVTDGAT</t>
  </si>
  <si>
    <t>O450b402bc</t>
  </si>
  <si>
    <t>Rhytidhysteron_RD2_Rhytidhysteron RD2</t>
  </si>
  <si>
    <t>Botrytis_RD2</t>
  </si>
  <si>
    <t>Botrytis RD2</t>
  </si>
  <si>
    <t>ASSDISITTHGSDVYWAITAAMAFATIVFLALSFRVPRSKRVFHYITAAITMTASIAYFTMASNLGYASIIQEFQRSDPKVSGVYREIFYVRYIDWVVTTPLLLLDILLTAGLPWPTILFTIFLDEIMIITGLVGALVASSYKWGYFVFAMAALFGIAWNILFVGAQHAKALGSEVNKVYWTCGGVTMFLWFLYPIAWGLSEGGNVIAPDSEAVFYGVLDVLAKIGFGSLLLFGHRNIDPAHLGLHIRDYNEQPRTFNDKDVGHHNGAHHDGAHVPVTNNGYREGQ</t>
  </si>
  <si>
    <t>O620244f3d</t>
  </si>
  <si>
    <t>Botrytis_RD2_Botrytis RD2</t>
  </si>
  <si>
    <t>Sclerotinia_RD2</t>
  </si>
  <si>
    <t>Sclerotinia RD2</t>
  </si>
  <si>
    <t>TSTDIAITTRGSDVYWAITAAMAFATLCFLAWSFRIPRSKRIFHYITAAITMTAAIAYFTMASNLGYASIIQEFQRGNPKVRGVTREIFYVRYIDWVVTTPLLLLDILLTAGLPWPTILFTIFLDEVMIITGLVGALVASSYKWGYFVFAMFALFGIAWNILFVGARHAKSLGTEVNKTYWMCGGITMFLWFLYPIAWGLSEGGNIIAPDSEAVFYGVLDVLAKIGFGILLLNGHRNIDPAHLGLHIRDYNEQPGSFHEKNSYANGAAGSSSAPVTG</t>
  </si>
  <si>
    <t>O23936573f</t>
  </si>
  <si>
    <t>Sclerotinia_RD2_Sclerotinia RD2</t>
  </si>
  <si>
    <t>Leptosphaeria_RD1</t>
  </si>
  <si>
    <t>Leptosphaeria RD1</t>
  </si>
  <si>
    <t>TPIYETVGDSGSKTLWVVFVLMLIASAAFTALSWKIPVNRRLYHVITTIITLTAALSYFAMATGHGVALNKIVIRTQHDHVPDTYETVYRQVYYEGTPQKWGWYTIACIAYIFVVWHLVLNGGANARVKGEKLRSFFVAIGAYTLILWTAYPIVWGLADGARKIGVDGEIIAYAVLDVLAKGVFGAWLLVTHANLRESDVELNGFWANGLNREGAIRIGEDDGA</t>
  </si>
  <si>
    <t>Oc8ddfcc82</t>
  </si>
  <si>
    <t>Leptosphaeria_RD1_Leptosphaeria RD1</t>
  </si>
  <si>
    <t>Phaeosphaeria_RD1</t>
  </si>
  <si>
    <t>Phaeosphaeria RD1</t>
  </si>
  <si>
    <t>TPELQFIGESGQKTLWVVFVLMIIASAGFTALSWRVPLSKRLYHTITMITIFAALSYFAMATGHGVSVQKIIVREQHDHVPDTFTEVHRQVFYEGTPQKWGWYTIACIAYIFVIWHLALNGGANATSKGPKLRSFFVAIGGYTLLLWTAYPMVWGLADGSRKIGVDGEVIAYAILDVLAKGVFGAWLLITHAKLRESDVELNGFWSNGLNSEGAVRLGEDDGA</t>
  </si>
  <si>
    <t>Ocdfdd7288</t>
  </si>
  <si>
    <t>Phaeosphaeria_RD1_Phaeosphaeria RD1</t>
  </si>
  <si>
    <t>3AM6</t>
    <phoneticPr fontId="3"/>
  </si>
  <si>
    <t>Haloarcula marismortui</t>
    <phoneticPr fontId="3"/>
  </si>
  <si>
    <t>non-selective anion channel</t>
    <phoneticPr fontId="3"/>
  </si>
  <si>
    <t>inward chloride pump</t>
    <phoneticPr fontId="3"/>
  </si>
  <si>
    <t>regulation of guanylyl cyclase</t>
    <phoneticPr fontId="3"/>
  </si>
  <si>
    <t>CyR N2098R</t>
    <phoneticPr fontId="3"/>
  </si>
  <si>
    <t>2L6X</t>
    <phoneticPr fontId="3"/>
  </si>
  <si>
    <t>HOT75BPR-D97N</t>
    <phoneticPr fontId="3"/>
  </si>
  <si>
    <t>Med12BPR</t>
    <phoneticPr fontId="3"/>
  </si>
  <si>
    <t>GPR</t>
    <phoneticPr fontId="3"/>
  </si>
  <si>
    <t>outward sodium pump</t>
    <phoneticPr fontId="3"/>
  </si>
  <si>
    <t>NmR2</t>
    <phoneticPr fontId="3"/>
  </si>
  <si>
    <t>NmR1</t>
    <phoneticPr fontId="3"/>
  </si>
  <si>
    <t>10.1016/j.jphotobiol.2017.05.004</t>
    <phoneticPr fontId="3"/>
  </si>
  <si>
    <t>10.1073/pnas.1403051111</t>
    <phoneticPr fontId="3"/>
  </si>
  <si>
    <t>Tara-RRB</t>
    <phoneticPr fontId="3"/>
  </si>
  <si>
    <t>Leptosphaeria_RD1(Overlappeed with Mac)</t>
    <phoneticPr fontId="3"/>
  </si>
  <si>
    <t>SrRhPDE</t>
    <phoneticPr fontId="3"/>
  </si>
  <si>
    <t>Krokinobacter eikastus</t>
    <phoneticPr fontId="3"/>
  </si>
  <si>
    <t>Neurospora crassa</t>
    <phoneticPr fontId="3"/>
  </si>
  <si>
    <t>HKR1</t>
    <phoneticPr fontId="3"/>
  </si>
  <si>
    <t>PsACR</t>
    <phoneticPr fontId="3"/>
  </si>
  <si>
    <t>BeRGC</t>
    <phoneticPr fontId="3"/>
  </si>
  <si>
    <t>RgRGC1</t>
    <phoneticPr fontId="3"/>
  </si>
  <si>
    <t>CfRhoPDE</t>
    <phoneticPr fontId="3"/>
  </si>
  <si>
    <t>RgRGC2</t>
    <phoneticPr fontId="3"/>
  </si>
  <si>
    <t>HKR2</t>
    <phoneticPr fontId="3"/>
  </si>
  <si>
    <t>CaRGC</t>
    <phoneticPr fontId="3"/>
  </si>
  <si>
    <t>TAT</t>
    <phoneticPr fontId="3"/>
  </si>
  <si>
    <t>PoXeR</t>
    <phoneticPr fontId="3"/>
  </si>
  <si>
    <t>WiChR</t>
    <phoneticPr fontId="3"/>
  </si>
  <si>
    <t>OtHKR</t>
    <phoneticPr fontId="3"/>
  </si>
  <si>
    <t>AaClR</t>
    <phoneticPr fontId="3"/>
  </si>
  <si>
    <t>RmHR</t>
    <phoneticPr fontId="3"/>
  </si>
  <si>
    <t>HulaCCR1</t>
    <phoneticPr fontId="3"/>
  </si>
  <si>
    <t>GtCCR1</t>
    <phoneticPr fontId="3"/>
  </si>
  <si>
    <t>GtCCR3</t>
    <phoneticPr fontId="3"/>
  </si>
  <si>
    <t>GtCCR5</t>
    <phoneticPr fontId="3"/>
  </si>
  <si>
    <t>CaChR1</t>
    <phoneticPr fontId="3"/>
  </si>
  <si>
    <t>OcHeR</t>
    <phoneticPr fontId="3"/>
  </si>
  <si>
    <t>SzR1</t>
    <phoneticPr fontId="3"/>
  </si>
  <si>
    <t>LaSzR1</t>
    <phoneticPr fontId="3"/>
  </si>
  <si>
    <t>MtSzR</t>
    <phoneticPr fontId="3"/>
  </si>
  <si>
    <t>MsSzR</t>
    <phoneticPr fontId="3"/>
  </si>
  <si>
    <t>Jaws</t>
    <phoneticPr fontId="3"/>
  </si>
  <si>
    <t>S13.Bin138 Proteo-SR</t>
    <phoneticPr fontId="3"/>
  </si>
  <si>
    <t>[Saliminasab 2023](10.1021/acs.jpcb.3c04032)</t>
    <phoneticPr fontId="3"/>
  </si>
  <si>
    <t>MDDVQRGACENCNCTLYQVQTATKRCRGCNHGAIYHEAIVRAAAKSGKTNWKDKLQAAMAEKDNSGAVYYVFRNFVVWSVLTVSGFYLLGTGYRGPTFDRGIADEFYAYTAASFGIAVIYSYIAYANAQNNEKRNLGKVLCIVNFIAMSSYIMQYTRTTPAFTDYVGYPVDPSRFYEWLATCPILIYLIAEITDNHHMADTTASYDYSLIILGFIACFLKQPYSEWFACGSTIFFFYTIYGLMVMFNSAIAGRTGCKLDVNSLYYARFVTFLAWNSFATVWYIQRAQIVTYEQGEVLFCVSDIFAKVFLTFILVNATLE</t>
  </si>
  <si>
    <t>MTDLQRGACGNCTCSVYQVQTGTKRCRGCNHGMVFHETIVKTAAKSGGKTDWKRKIEAAKAEKDQSGTVFYVYRNYAAWMVVTLFGFYQLANGHKGPTYERGFAIEAYAYTACCFGIAVIYSFIAFFNAQNNEKRDLGKVLCVVNFISMVSYLLQWTGYTVSYTDVYGHPTDPARFYEWISTCPILIYMIAEITDNHHLADNTASADYVLLVLGYSSTFLRQPFSEYAAISAATCFFFVVKGFSSMFDRAIEGKTNCKLDAGSLWNAKWVTILAWASFPLSFFTQRSGIVTYETGEMMFCVADIWSKVFLTFILVNATLE</t>
  </si>
  <si>
    <t>MSACPTPPTVVAPTDQSPNPNGGTTSCAQAAPSPQMSMNYTLLATIDGFSAVILLGSGVVFWYYSWRGTGFGAHPHPKRRPLELNTLSAAIAFLTGLMYVAKTSDFARDSTSEFSLNRYWYSDYIVTCPLIVMDLCFTVDVPYKLAFTGSTAVLLVIALASFIVRSPEKYIYFAIGCTLFSIFFYFFFNEVRKRIRYVPDCAKKDLERAMFIFFGFWPMFPVLWLLGFHTTGVISEEAFFIIHAFLDITCKTIFGVFMLRCRLHIEDYAWDELKRQRQEIDEENQKTLTAAGADGATVMMPVEEDDPYASGYEDDDADATTVNSASRYRRLLRTSRYSGIYDQRRTLRRRVAVPAGSYIVDSSGHHSVGRDTRVSRGSLLVAGTPMARNPTGPLAAKWNPQPPALGGVDPAVKGPPPQLAPQFPPQPPQQPSHDARDGNDRVPARELSDRSDRRSLDRSDGRNGDRGLHADDVELVRTAHRVRPNTPPRKRPPPGRRASGGGGADSRGRYALVRRVEEAAPAPVRRAFADSEDEWNARHYGEQSPTRMPVRGVGQLSTIDDNGSETSDHRRGMYSSEDAGLTRSVDMSGGRRQQRPADVPRPSSRASDSRDAGYDLTCAVGICRREPSRRVSPPSTPPAPPPAPLPQRSRAPLAASPPPPFPPSAASRPRQWPCSAPVRCWRGSRCGCRTVRRPSWTCARGTTCARSRPASATSTASPRARSGAWSSSYETSCPPRTRTTPAGST</t>
  </si>
  <si>
    <t>AntR</t>
    <phoneticPr fontId="3"/>
  </si>
  <si>
    <t>MDNQIEIVFAAGIALFSVAAAYFFWAYKKDFNSAFLVSFITIISYILMLEGSLVSAGARGGEVYATRWLFYGLSCSLLMYEIARFLRKSQSEIVFLMFLTVIVMGTGGAAAYFEGWYKIGFFVLSSVAYVLLVYPLLTSVSPNRSAVAKYILLGWTGFPIAFLLAPDGFGIITTTTAAILYLLLDIFTKVIFYFDLHRKMEVNAQKVLAVSGSVG</t>
    <phoneticPr fontId="3"/>
  </si>
  <si>
    <t>[Kawasaki 2021](10.1016/j.cplett.2021.138868)</t>
  </si>
  <si>
    <t>SAR11 HIMB114 TAT</t>
    <phoneticPr fontId="3"/>
  </si>
  <si>
    <t>alpha proteobacterium HIMB114</t>
    <phoneticPr fontId="3"/>
  </si>
  <si>
    <t>BPR(duplicated with HOT75BPR-D97N)</t>
    <phoneticPr fontId="3"/>
  </si>
  <si>
    <t>CyR (duplicated with CyR N2098R)</t>
    <phoneticPr fontId="3"/>
  </si>
  <si>
    <t>Med12 (duplicated with Med12BPR)</t>
    <phoneticPr fontId="3"/>
  </si>
  <si>
    <t>Cr2c-Cyclop1</t>
    <phoneticPr fontId="3"/>
  </si>
  <si>
    <t>CrCop5, CrHKR1</t>
    <phoneticPr fontId="3"/>
  </si>
  <si>
    <t>Chlamydomonas reinhardtii</t>
    <phoneticPr fontId="3"/>
  </si>
  <si>
    <t>Ostreococcus tauri</t>
    <phoneticPr fontId="3"/>
  </si>
  <si>
    <t>Eukaryota</t>
    <phoneticPr fontId="3"/>
  </si>
  <si>
    <t>Choanoeca flexa</t>
    <phoneticPr fontId="3"/>
  </si>
  <si>
    <t>MSKAMTMREEAALELKRKGKVKNVAIATTSEVQKQGFFMMAVWIATVSILWLFSNPEASEAVFEKHGQLRVMYGATSVAFAFATALDVLAYVNAVSDEKRVLSGVLAYVDGAACLSYAAMASLPLYFILDSHNGNPIWLMRYAEWLITCPTLLYWCGLATRGERGAVADIATGDAMLLAGGALSSILPGWPSYFVFMGSVAAFVYVMTHMWGLFSKAMQPDFSPAPPLPRTALNLMRWEIVLSWTCFPMIEYSRRYFGLDYQTGEALNSIIDYAAKVGLAMIMVNCNLEQINAIKVEQMQSAMSGMVKVMRKTNARVELDGMDDDVKGWLLNEYAGDDGEDEVKVSSKSKRNQKSINPEEISASALFSWDFCSLDKSEEDLVGICIRVFRELKMIEVFDLDESKLRRFILGVRSRYNKNPFHNWKHAVMVLHTCYLFITQVAAEFCTDLEVLALLFAALCHDCDHNGVNNAFHINSRSDLALLYNDQSVLENHHCYSGFDVLYDKGNNFLDVLSEGDFKRFRSLVIDCILGTDMAHHASKLGKLEEINRLGGFSNLAENDEQRAFVMVTLLHTSDLYNPIKPFHITKKWANRLQREFNQQVEVESQMGLPSLPFMKGQGELALAKGEVGFITFVIRPWYVQLTNAFPKIDFLMDNIDTNLDMWKSIVESHE</t>
    <phoneticPr fontId="3"/>
  </si>
  <si>
    <t>Bacteria</t>
    <phoneticPr fontId="3"/>
  </si>
  <si>
    <t>GpRGC2</t>
    <phoneticPr fontId="3"/>
  </si>
  <si>
    <t>Globomyces pollinis, pini</t>
    <phoneticPr fontId="3"/>
  </si>
  <si>
    <t>MSTKPTWKQKVDDITNKDVVNTASLNTIQRNIYAWFMIIGVLAFYAVTKRQPKYDREESNMWYFYTASVFAIGVFFACIAYFSARTKEKKSLAMVLFWCDFIAMSTYLLSATRMTHALRDINGYPVEVARYVEWLSTCPVLILLIGEITKCPEIAAETMEYDYIMLILGFIGAVTREPISFFFQMVCMAYFALVIFGLNKMFTKAINGETGCTLDPNSLKSAKIFTLLSWNAFALNWFCVRYEIYSFATGEMLFGLSDICAKVLLTLILVNATVESAQNERVNALSTIASDMETELNNSDALLSKMMPQEILDQIKAGKATEAQEYDCVTIFFSDITNFTVISSQTSTKEMLATLNALWVEYDKIAKKWGMYKVETIGDAYLGVTGCPERVPDHAIRATQFSVDIMAMISQFKTAMGSSIAIRIGLNSGPITAGILGTENPHWCVVGDTVNTASRMESTSKPMMIHISESTQKLIAKSGIFNISEPDVLNIKGKGSMVTYWVHGRL</t>
    <phoneticPr fontId="3"/>
  </si>
  <si>
    <t>[Broser 2020](10.1038/s41467-020-19375-8)</t>
    <phoneticPr fontId="3"/>
  </si>
  <si>
    <t>[Broser 2023](10.1073/pnas.2310600120)</t>
    <phoneticPr fontId="3"/>
  </si>
  <si>
    <t>[Mannen 2023]</t>
    <phoneticPr fontId="3"/>
  </si>
  <si>
    <t>MAVDARSWRGFARGKVNGMGVRLSALLVLFLSFVVVTEWVRDREGERFSAFTPRLIRQQRAVDARTGERLMVSGDVNANASATGPDPFEDLRTYVDHGVVRLEAEVCGSTSLMALTVFAVCASIGLNDIMWTPSRSRRSVSSTVLYITIVACYTHYLMVQGSDLLKQGVEGTYYSLLRYLEWMMTTPVLLILVFQLHALCVGDERAPYRTDMWCACIADEIMLITGWLTNELSGKVHGVCLTISMLCFTYVISRCVGLFRELLTSNLVAGDRMRFIILACAKTICWTSFPIVYMAKEMEFIDTSAEHEWFLSCDVLTKAVYCLLLSAGSIRVLDVTRDEELADIERLTKMQREFFFNITHELRMPLNSVIGFNTLAVESGELTDVTNGFIKNSLTSAEALLGLINQVLDYAKFNRKGVEVSGGHGLELSNDNFTLEELIDQTLSICQRADYTGNLFVRIDPSLFPMTYICDFFRLRQCLVNLVNNALKFSNHLDRPGCVMIDVRGYLDESEAHLTFSVEDNGVGIPEERQSAVFVPFSQQSDYSALRVQGTGLGLTITKTIIELMGGTIHFTSKEDVGTKFNISLPMGYKSADKMRIAPKNLMALIGLRPGLQMRTLRNILACYQLNVRDMIEVGLVGQDREQVEHYIMHGHTSNKHVVLCIEEEQYFQNEDWLKSIKPEPKIMIISKSSRMKDLPHVANVRSIMKPVAMMPTIEALEYFSREGEGECFVDETESQGVGSIMKSESDTAASKSATDLDGDVDISSMRVLLVEDNRMNQQVAIQSMKKCRVTVDVADNGLIATQMIEDTIHGVIAPYDVIFMDVMMPVMDGNEATRKIRQMEKEAPETYKRNLIIALSANVGPEHTIAVTEAGCDGSLGKPFYPSTLRQLLYSIFMDEYEGFAAQETFFARPG</t>
    <phoneticPr fontId="3"/>
  </si>
  <si>
    <t>MPATSRRFGVLLYLLASYLICTSNLGDPELTAQFHAQADPNAYTWPMVAFGTAFGLNFITLLFERESAKFQLALLACYINFLAGFSDYMSWKGYAPIVRDSWGQGFQLLRTVMWLLTTPAMVYLLSIISDFSRLKVYSVMLADVLMITFGILAFLAYNKVMSILFYMVAWCLFAYVVHSMWSMFHASIAEARHDSSRVSLEVLRLFAVGLWFTFPVIWIVVKMGLVDIRTEEWTWCACDFLGKVMFSSSLLHGNFLTIEQRRLIAMRIVEEGNRIQVIQELKDLVEQKERFMSSMSHELRTPLNGIIGLSDALLVGSCGEINDQALKTITTIKTSGARLLNLINDILDAASMRKGKLTIKHEKVNLKRVVDDVIDLCQPLAKRGVKLVNDLRENVPFVLGDTGRIIQVFHNLIGNSCKFTHSGNISISAAVKDDEVEVAVADTGIGIPEDKFDQIFLAFEQVDMSVTRKYGGTGLGLNLVKQLVEAHGGRISVKSRENQGTTFYFTLKIHSEHPNEGQPQMTPTESVAAIPPPEHSQLATVRGTAPSAGGLPPSSSGATAGPRRAPSRRGSFTDKMLGALGAGMGGHHKKPPSETESRDGPYASNAGPGGGGNAGQGSAMVRRVSRDAHGSNPPNPKSVTAGPQVSGPMSLSDAAALMKGALKRKSSFRERGAKVRVLSVDDDPVNQLVIQNLLAPVGYEILQAMDGQEALKVLTEEERLPDVILLDVMMPGMSGYEVCRKLREMYPLSCIPVIMISAKSKEEHIVEGLAAGSNDYVVKPFGRQEILARIAAHLRFRDTVYQAGEIAGAIPGDVRPERVLLRGGANGGGLDLTPFLTGPARFTSLPPRIARGIEAGTTSTTLQMFESLTLLEVRLVNLGDLLASVPASDLLVALASLFHDLDTLLEQHGCYLLEGLDESHLIVSGLDNVGDQVLHALGLARSLIAAADTFALGGRRSKLHLAVGVHTGPAQGVLVGYSHPLIFFTGQLPAEVHMLQATCPPNCVHVSARVLESVAHSEREHFVPAGVMASGATTYLMKVGGWEGGGIVAASEATSRWSKAKRGMHDGLATDARRMRPIQLALLDMAQANPAFLVDIASAAHGAAGGGAGTSSDGQGERGGGGGGSEELSKLKREYESLERQMEEVSGEAARLQDLVDELEEQLLARSNTAAASTAATAAASQQAAVAAADAASLKAHVAELEGQLAEAARERNGLEAALAEMEQRLVATHAALATANHEAADRARAHTPAPQELPPHHPHSASRSHLHVLPQQNTPRVETASMAPSASGSEANFASGLSALGGGSLFGGGALMPRGAMPLGVPMRMPNLAALRAHAGDMRGLLDELGLGSLASRFEAEDVSPGLLPYLDDAAMRELGASSVGARLKLRLAAQALFM</t>
    <phoneticPr fontId="3"/>
  </si>
  <si>
    <t>MKLRQRTVGAQLRSQPVSSAGGPANSGPPATPSGGIAPVSIFGAAEALADPEARGWILTWSWTFTGFFVYITASWLSGLWYTTDPLAYAALRAQVPTLVYQMSSTAFFTALVLNLTSLLFEDNAPKRQLALLSCAIKGAACHTDLLLVTGGATVLYDAYGSICIPQRYVQWLVTTPTMVYILSKISDFTPRQTATAIGLDVLMVLSGLVANFLRSPYLWVAFLTSTAAFIGVLYMMGLMVYSAVKEHTSANSRRSLLFIYMCTLFIWNLFPLAWILHVVHRGSPAAEYLNVFANFMAKVLFSSSIMYGNYMTIAQRRLLAQQDAENANRVQMIQDLRDSVTRKDQFMSLMSHELRTPLNGIIQLSDALVRGAGGEMNPKGQHFVRTIKNSSNHLLNIINDILDVAALKEGKLTIKHEVCSLAKAVDHVVDIVAPLAKKEVTMERWVDPATPLIIADFSRVIQILYNLTGNALKFTNKGRVGVRVEPSADGTHVLLQVSDTGIGIPKDRLHSIWGAFEQVDMSVTRKYGGTGLGLNIVKQLVEAHEGTIEVASVEGRGTTFTVELPVLQSSTRRSLEGQVLDSLTRCGHAAARDTMVQRRTRSRPSLGLEDTITQFARGVQRRASGLLGVAKAAQEAGSNAGTGPAGSTGAGAGGGGGAGGGGQRDSLDREEGEQLLRKRTHELEHESRLGDLARRTVHKQSMEEADLASRQLLLSDYERRAERDTRSLERIDSGQPGLTNGGGEGAGGAAGGGAGSGGGGGSAPGSAGKAGVAGGSCRGDVRGGGTDGRGGGGGGAGGAGGGGGGGNGGGGASGGGGRRSGAPTSGRASLGELPSGGSGGGGGGGGGGGDGTPESPRSAIARRGLLAMRQSSLSNLRGATSARAGGAAGGAAASGGGVSVGRWASTTDTGFANQGAAAAAWRGDSHRTLPGVEGGCVSVSSANGNSIADVYEALQLARASNESGGGGGGGGGGGGGGNGSSLKASGGSLALRMSAYGRTGYGGANGGGGGGANGLNGYGGGGGALGGSGASGSLLKSALESDLYRNGPSPRDPYDCDASSVGADSEYEWVGDGGGAGGGGAFGGRSRGPTSTGSLALGGMACGPGGRRHQPPKPSLRSGKLTPMLSNAAAAAAAITAVPPGLTLDKLAYSDMYGTIQVLSVDDEDINQIVLEEILTDSGYAFARCMDGAEALEWLCASDTMPDLILLDCMMPVMSGHEFCATLRKVIPGNVLPVIMVSAKSDEENIVEGLRSGSNDFVRKPYQREELLARIETQLRLKSDSWWLAELVNNVDGRETESMKLLKNILPESIIARMQQGQKFVADSHGHVVILFSDIVGFTSLSSKLPTAEVFLMLSNMFTAFDKLTDRFSVYKVETIGDAYMVAAGHDEDEDKEAKGSPLMRVLGFARAMLDVVRNITAPNGERLRIRIGVHCGPAFAGVIGMKCPRYCFLGDTVNTASRMESTGFPMCIHVSENVFKHHPAAEAELQEVGERDIKGKGHMRTYVVRTGAWEQALRDFAARQQAAAAAAQAQAQTLALARQQAALLQQQHEQLQLQLQANGGGGGGGATANAAKAAADALAQLPASLSFDSASAGSTSSMLPLSGGSVAGAAARTANSLAPGAGGGGAAAGAADGGGGGNGCGGGGGAVRMGHLLSTVAEEGSLPGSPSSFAAAAAAAALSPSAAAQQQQQQAPGYHPSHLRTASAGAGRSPLSRGELPAAASSPLQPGGGAAAGAAGSSPLLPPLLRGANHYTDPRLAGGLRPSFSTGGYVLEDDSDDAASGACFLTSDAADASFSGGVLAATTSHAALGSGGAADSQHAPSAAGAVMGSSPAAALQVSPASPGGAAAGGLGSGLSPQSSLYGGAQLLLSPNSAGLHSGHANTTLAYLEQRIASLGTQLATEALSRQRLQDELDAERRRAAGAMQQASLLMQQLRNATQAAGGGSGGAPSSVAAAAAAAGQEQHLARLQLGSGGGGADAASGGGGGAALPPSAAVPLSRLPPPPRGAGGAVASLRAAGGANELLPTSNEANSNADADVIIGGGGMSSTVVPAAQPPSSSAFGSAGAATSGGSGNDDQEITLASPFVSDLPAYALEAGDVVPNSLDFASQGFDPGSSGAGGRGGGGGSRHAGRAAAAQQRPSSKVQRMNVGDAAALMLQPPKAQQLQPGSQSTAFVEAGGVGRSGASGGGIAEPLPGSAAEAYSGYSRQQLEDQLLLPVPMPTSITALMPGGGTAAATAAVGTATAASTTTTTTTTVSHHRHVFHTSAAAGLALSAHPAPGSSPLPAPSSSSPCTALQPLQLQPPPLPCYSLDALFVDLGLEPYLPRFRDEAIRLDMLLSMDAQQLERLGLKPLGYRIRVREAVVELARGLLRSSEDAAVLVEMSQQHQHQQQYRSQQAQQLQQQHQPLER</t>
    <phoneticPr fontId="3"/>
  </si>
  <si>
    <t>[Tian 2018] (10.1186/s12915-018-0613-5)</t>
    <phoneticPr fontId="3"/>
  </si>
  <si>
    <t>[Sugiura 2020] (10.1021/acsomega.0c01113)</t>
    <phoneticPr fontId="3"/>
  </si>
  <si>
    <t>[Gao 2015] (10.1038/ncomms9046)</t>
    <phoneticPr fontId="3"/>
  </si>
  <si>
    <t>[Avelar 2014] (10.1016/j.cub.2014.04.009)</t>
    <phoneticPr fontId="3"/>
  </si>
  <si>
    <t>MKDKDNNLRGACSSCNCPEYCFSPTSTLCDDCKCSVTKHPIVEQPLSRNGSFRSSGASLLPSPSSPNVKITSTVGLRSRKSESQANVRGSMISNSNSGSRSNNSGGAGGGSGGSSSSKGGSALANYQSAMSELWSWNMMLSTPSLKFLTVQFTTWIVLTTVGAIYTLFFHERQAYNRGWADIWYGYGAFGFGLGLSFAYMGFTGARNPEKKALSLCLLGVNFISFMSYIIIMLRLTPTIEGTMANPVEPARYLEWIATCPVLILLISEITQYPHDPYKVIVNDYALCLAGFVGAISAQQPWGDLAHFVSCLCFSYVVYSLWSCFTGAIDGETQCNVEKSGLRWIRFSTITTWSLFPITWFSYTSGLISFTVAEAGFSMIDIGAKVFLTLVLVNSTVEQAQNQKVDAITAIAEELENQINNCDAILQKMMPEGVLEQLKNGQATEAKEYESVTVFFSDITNFTVISSRTSTKDMMATLNKLWLEYDAIAKRWGVYKVETIGDAYLGVTGAPDVVPDHAERACNFAVDIIEMIKSFKTITGESINIRIGLNSGPVTAGVLGDLNPHWCLVGDTVNTASRMESTSKAGHIHISESTYHFIKSKFVTQPLDVMEVKGKGKMQTYWVLGRK</t>
    <phoneticPr fontId="3"/>
  </si>
  <si>
    <t>MKDKDNNLRGACSGCSCPEYCYSPTSTLCDDCKCSVTKHPIVEQPLTRNGSFRSSGASLLPSPSQPNIKVTGSSTASSNANMRNRQNNSLSVSNVRSTSSASSSNVSSPANSRPGSPSKQSALQQYQTNIADMWSWDMMLSTPSLKFLTGQFIMWAILTVAGAFYALFIQERQAYNRGWADIWYGYGAFGFGIGIAFSYMGFAGARNPEKKALSLCLLGVNIIAFSSYILIMLRLTPTIEGTLSNPVEPARYLEWIATCPVLILLISEITQADHNAWGVVFSDYALVVCGFFGAVLPPYPWGNLFNILSCAFFSFVVYSLWRSFTGAINGETPCNIEVNGLRWTRFSTVTTWTLFPLSWFAFTSGMLSFTMTEASFTMIDIGAKVFLTLVLVNSTVEQAQNQKVEAITAIAEELESQITNCDAILQKMMPEGVLEQLKNGQATEAKEYESVTVFFSDITNFTVISSRTSTKDMMATLNKLWLEYDAIAKRWGVYKVETIGDAYLGVTGAPEVVPDHADRAVNFALDIIEMIKTFKTATGESINIRIGLNSGPVTAGVLGDLNPHWCLVGDTVNTASRMESTSKAGHIHISDSTYQMIKGKFVTQPLDLMEVKGKGKMQTYWVTARK</t>
    <phoneticPr fontId="3"/>
  </si>
  <si>
    <t>[Hososhima 2022](10.1101/2022.03.24.485645)</t>
    <phoneticPr fontId="3"/>
  </si>
  <si>
    <t>V2HeR3</t>
  </si>
  <si>
    <t>Emiliania huxleyi virus 202</t>
    <phoneticPr fontId="3"/>
  </si>
  <si>
    <t>MDTIVLTINWFNFIAGLFHVALAIVCALLGDVSQTFKMYMPFTTFRNGTQENEVTIKYSGYFPMTVIFVVYFSVTALFHMGNAFLWNDTYHRFLSNRKNPIRWTEYSITAPLMTAILAFIAGSRNWLFVIAASTLTFASISVGFVLDEIRKYSFFVLGMIPFLVEFSLIILSLYLTTSCYPSYLPITIFVEFGLWILFPFVSLLELSGINYKIGELVFIVLSFVSKSVLAIILNSENVLKNGVTGIC</t>
    <phoneticPr fontId="3"/>
  </si>
  <si>
    <t>JsNaR</t>
  </si>
  <si>
    <t>[Inoue 2019](10.1038/s41467-019-10000-x)</t>
  </si>
  <si>
    <t>Jannaschia seosinensis</t>
    <phoneticPr fontId="3"/>
  </si>
  <si>
    <t>MPNYENFFAFEYWQYEVVRHMFAFTAAVFAAAFVYFALTMRQVAERYRLASIISCVVMISATLELFLLWLMWNRAFEFDITTMTYARAEGFIFANGYRYANWMIDVPMLMTQLLVVLGFAGRDMLSRWWKLMALGVFMILTAYIGQYYEPQAAGIIDESAFGFWFWGIVSWIAFLVLLWLLYKNVEEGRARMGGEASKLMGAAWTLMWITWTIYGLVYLVPGIPGINESSTWIVIRQGGYTFADVTSKAVFGVILSYTAMTLSKEPERNTTRKAA</t>
    <phoneticPr fontId="3"/>
  </si>
  <si>
    <t>[Oppermann 2019](10.1038/s41467-019-11322-6)</t>
  </si>
  <si>
    <t>MerMAID1</t>
    <phoneticPr fontId="3"/>
  </si>
  <si>
    <t>MVPIYATFQLFAVLITAATLVFYVSQLRNGNKGDWEPIYVSGVEFIAYLMALVLPDGYAFRSFQDDSGIITVPVFRYVSWLATCPIILKVLVTVISHEDNIDQDVILRLMLLITWIELLGFMGSMYVGMLKVFCIALAIILCIYMYYIICTTWNKNHHESLLLSYPKERFELMALLMVSWIVFPILYIVGPECFGLISNQFSIIGHVIGDVISKNLWGLMAWKLRLKIKDGQPMEHVNPLKIVSNDGTNTMENYPLDKIIQT</t>
    <phoneticPr fontId="3"/>
  </si>
  <si>
    <t>[Nakajima 2018](10.1264/jsme2.ME17197)</t>
    <phoneticPr fontId="3"/>
  </si>
  <si>
    <t>Rubricoccus marinus SG-29</t>
    <phoneticPr fontId="3"/>
  </si>
  <si>
    <t>MAQTWYWIGLVAMAVGSGVFGVAAARAPERRWQILWTLYFFICLIAAVLYLVMATGFGSYVSADGTKTTWVRYVTWFTSTPLLLLALTYLGRSSMPLVASLLGANAFMIATGFVATILPEDALSLTWWAISTGAYVAIAWAFLGRYKREAKAALPASGAVFDRIVLVHLILWTAYPVVWMLSPEGLDLVGDGPEALMFTILDIAAKVGFGFLAANSLRQIEQNGEAAAFEPGAPAVVASGVRARA</t>
    <phoneticPr fontId="3"/>
  </si>
  <si>
    <t>Blastocladiella emersonii</t>
    <phoneticPr fontId="3"/>
  </si>
  <si>
    <t>Catenaria anguillulae</t>
    <phoneticPr fontId="3"/>
  </si>
  <si>
    <t>CaCyclOp</t>
    <phoneticPr fontId="3"/>
  </si>
  <si>
    <t>BeGC1, BeCyclOp</t>
    <phoneticPr fontId="3"/>
  </si>
  <si>
    <t>RGC1</t>
    <phoneticPr fontId="3"/>
  </si>
  <si>
    <t>RGC2</t>
    <phoneticPr fontId="3"/>
  </si>
  <si>
    <t>[Kateriya 2004] (10.1152/nips.01517.2004)</t>
    <phoneticPr fontId="3"/>
  </si>
  <si>
    <t>regulation of histidine kinase</t>
  </si>
  <si>
    <t>regulation of histidine kinase</t>
    <phoneticPr fontId="3"/>
  </si>
  <si>
    <t>[Luck 2019] 10.1021/acs.biochem.8b01200</t>
    <phoneticPr fontId="3"/>
  </si>
  <si>
    <t>[Inoue 2016] (10.1038/ncomms13415)</t>
  </si>
  <si>
    <t>[Govorunova 2016](10.1016/j.bpj.2016.05.001)</t>
    <phoneticPr fontId="3"/>
  </si>
  <si>
    <t>MVESSAVIAANWISFLVIAGSFVVLCFISLRYKGPGGNENYYNGFREQNMLTVIINLWCALAYFAKVLQSHSDDDGFVPLTKIPYLDYATTCPLLTLDLMWCLDAPYKITSAVLVFTVMITGVACSLAVAPYSFYWFAMGMVLFIFTYVLMLSIVRERLEFITQCAHDSNAKRSIKHLKAAVIIYFGIWPIFAILWLLSYRAANVISNDTNHILHCILDVIAKSCFGFVLLHFKMYFDKKLLESGVHEDEFAEYSKEVSKHREEKPWRKTASSYPESDYDEPVYMNGEDLNLNDPPAWGG</t>
  </si>
  <si>
    <t>MVSALDQNGPQYLQNPIVIAADWIGFIALFGSSLAVAYKLVTFKGPDQDDVYFFGYREEKMISVFVNLFAALAYWAKLASHANGDVGPAASVTTYKYLDYLFTCPLLTIDLLWCLNLPYKFTFGAIVAVCILCAFMASVIPPPARYMWFGMGITVFSAAWFNILKLVRMRLEQFVSKEAKKVRQSLKVACMTYFFIWLGYPTLWVLGDAGVLDSVVSALLHTFLDVFSKSIYGFALLHFVMRTDKREFIFVPLKPSVEKIVVEDDESTSSRAESTRASKSKIMIGSRVKKLRSSATDELR</t>
  </si>
  <si>
    <t>[Hososhima 2023](10.1038/s41598-023-34687-7)</t>
  </si>
  <si>
    <t>MATSAPSLSDPNWQYGMGGWNNPRLPNFNLHDPTVIAVDWLGFLCLLGASLALMYKLMSFKGPDGDQEFFVGYREEKCLSIYVNLIAAITYWGRICAHFNNDMGLSLSVNYFKYLDYIFTCPILTLDLLWSLNLPYKITYSLFVGLTIACGVFCNAFEPPARYLWFMFGCFIFAFTWISIIRLVYARFQQFLNEDAKKIRAPLKLSLTLYFSIWCGYPALWLLTEFGAISQLAAHVMTVIMDVAAKSVYGFALLKFQLGVDKRDVWLDELRSVRYSEPPPQIRPSKSREGPAGYNYDEEHDFPRFSKSSNRPHDMRHSRGSEHASRQRPPQDLY                     PHDDGNGMEKDQEISSTMKQIAELNKQLSALQDDERM</t>
    <phoneticPr fontId="3"/>
  </si>
  <si>
    <t>PoClR</t>
    <phoneticPr fontId="3"/>
  </si>
  <si>
    <t>[Rozenberg 2020](10.1016/j.cub.2020.09.056)</t>
    <phoneticPr fontId="3"/>
  </si>
  <si>
    <t>vPyACR_21821</t>
  </si>
  <si>
    <t>Giant virus (Megaviricetes)</t>
  </si>
  <si>
    <t>Virus</t>
    <phoneticPr fontId="3"/>
  </si>
  <si>
    <t>MSFDQTICKHIQFIDLLLSIILFIFFYYQKIVKRRCKFEVLYVTGVGSLTDLVKLTITNELPASYVIENNGVLFNWSQFLGWMITCPVLLIHLSNLAGKDVFDVRRMMKILVIYQILMVSGATASMCNNDLKWLFFGVSLISLLKIYIYAHNIFQESREIMPKRANVVINWISFVFYVSWSGFGVSWFFSPNGISFFSDYTTKALFAFFDIMSKNVYSMLGWYLRWYIIRKFDNPEEFVEQYQEEDEKKINILLVENNAIYSHYFDNILIQHGCTVDVSKNIDELLFMTSNNDRQYDMIFMNKTMAIENSYKMMYEIRKRMFMLPVIVYGRDITEYDMMNRNNTGIDDFLIAPFPDDLLKKKLLQWSRRASINPLLTTNLNTNSNNIMNHIDIVIKSLNDLRSSKQFVS</t>
  </si>
  <si>
    <t>unknown</t>
    <phoneticPr fontId="3"/>
  </si>
  <si>
    <t>PoR3</t>
    <phoneticPr fontId="3"/>
  </si>
  <si>
    <t>inward proton pump</t>
    <phoneticPr fontId="3"/>
  </si>
  <si>
    <t>[Inoue 2020](10.1126/sciadv.aaz2441)</t>
    <phoneticPr fontId="3"/>
  </si>
  <si>
    <t>[Harris 2020](10.1021/acs.jpcb.0c02767)</t>
    <phoneticPr fontId="3"/>
  </si>
  <si>
    <t>MEEIIFYIGAGVFTLTSITFFLLKKKNLEVASLNMIVNFVTIASYLLMVSGLFVASAVSGDSIYWTRWAFYAVSCSFLMVEISMLLSIDKSIKLEIIVFNCLVMITGLLASVSEGIIKWLFFTLSSVAYLYVLFQIIKHRSNEKFIVAFVAIFWSGFPIIWILSPAGLMLIDAFWTALFYLVLDLITKVYFGYHTTLKFSK</t>
    <phoneticPr fontId="3"/>
  </si>
  <si>
    <t>potassium-selective cation channel</t>
    <phoneticPr fontId="3"/>
  </si>
  <si>
    <t>Methanoculleus sp.</t>
  </si>
  <si>
    <t>Methanoculleus taiwanensis</t>
  </si>
  <si>
    <t>MASEIIVFQIGAMIFAASSVVFLVGGTKKLNFDTEFFISFITSMSYVVMSLAIATTVALGGGTIYWSRWLFYMAACPLLMYDVVRISTGSTREYPVFALLTCLTMFNGFLASFVVSSSRWIFFLFGSAAFIGLLYMVSRGQKNRASKTLKPFVYIGWSLFPVVFLLAPTGFGIFDAPVTAFLYLLLDLVTKLWFGIITIRML</t>
  </si>
  <si>
    <t>MAGEEMLVFWAGAVIFGLATLLFVVLKLRRPEYGIFYGSDIFVCFITTISYVTMALALGTSVAADGQPIYWTRWLYYIASCSILTLDVAYLAGRPTVTKFEVALFTGLVMFCGFLASFLTGPERWWFFAFSSAAYAGLLYTLFAGTGRAEPGMKPVMWFILLFWTLFPVVWVLAPTGLGIITTPAGAVLYAILDIITKIVFGLWITMRILPFRQPIG</t>
  </si>
  <si>
    <t>Archaea</t>
    <phoneticPr fontId="3"/>
  </si>
  <si>
    <t>-</t>
    <phoneticPr fontId="3"/>
  </si>
  <si>
    <t>PoR2</t>
    <phoneticPr fontId="3"/>
  </si>
  <si>
    <t>Parvularcula oceani JLT2013</t>
  </si>
  <si>
    <t>MTEAFWLWLYVAVMAAGACLFLYWSRKPRGVPGYEYTIAAVIPIWSGLAYLAMALGQGTVMIDGREVYYARYLDWLVTTPLLLWLLGSTATFYRANDTRLIGSLMFADVVMILSGLFADLTAEQSVRWLWYTIGCVSFLLILWQVWGPLRRIAGEQGEALSKTYTRVAAYLTVFWVSYPLVWLISPSGIGIVGPTVSIALFVILPAFSKVGFSILDLYELRRLGDDRPSPKAAIPPPAGHRAVVERPV</t>
    <phoneticPr fontId="3"/>
  </si>
  <si>
    <t>MDDLPVNIENLTSLTHPQYQIVAVLLMVGYGAHFAFTLFFLSTSTLIAPRYRLVPWMSAVVMVAAGLSLLRESMVFTDSYSFVGGLWMPVADQVFSNAYRYANWTITIPLLIAQLLLALNLPAKTTRHRFYALTAAAIAMIWTGLIGQFYESQAVGTMLLWGFISTIPFVYLVWGVRSALKDSEANSPVQLHPWTRKLFFYFLFFWGLYALAYMVPAFGDGGNAVVVRQFMYTVADIFSKLVYGIILSQFVLRRSALEGFGPAEQALTKWAGGPGGVDASTLPDEVATPTPDRGAS</t>
    <phoneticPr fontId="3"/>
  </si>
  <si>
    <t>AbHeR</t>
    <phoneticPr fontId="3"/>
  </si>
  <si>
    <t>[Cho 2022] (10.1371/journal.pbio.3001817)</t>
    <phoneticPr fontId="3"/>
  </si>
  <si>
    <t>Actinobacteria bacterium IMCC26103</t>
  </si>
  <si>
    <t>MAKEITDSGLRRINLIAGVLHLAQMVAVLALATDFTLPITARYMSGPPGSTYGDLIILYNAPLAIGVAIFLGLSSLAHFVVISPKFFPRYIAGLAAHRNFFRWVEYSISSSVMIVLIAQITGISDITALISIFGVNASMILFGWLQEKYEEPGNGGWVPFIFGCIAGIVPWLALVFYVFAIGGAGENKAPTFVYFIVFTIFILFNSFALVQYLQYKKVGKWADYLRGERTYITLSLVAKSLLAWQIFANTLIP</t>
    <phoneticPr fontId="3"/>
  </si>
  <si>
    <t>MNVLGLVTSYTFEFALITMIAATIYFLLERYRLSDEYKPVSTFAILTTSLAVIEYFNMREFFTIENLSKPDLNFPTEYRYITWLIATPIMLYTYFVLTKLSRYAKPIVILTISLNFLMIVSGYFSESAYSNGWMPMVSGTYVFSYFLFGVGMACWVGIIYIFIKVLPGHVVKVNDQRNSDYCLKCLGFVQKLIIYGWAIYPLGLFVSFWDGASDTALMREMIYNFGDLFNKVGFALICFSCAKKLSKKS</t>
    <phoneticPr fontId="3"/>
  </si>
  <si>
    <t>[Kataoka 2019]</t>
    <phoneticPr fontId="3"/>
  </si>
  <si>
    <t>[Hou  2012](10.1038/s41598-023-34687-7)</t>
    <phoneticPr fontId="3"/>
  </si>
  <si>
    <t>Chlamydomonas augustae</t>
    <phoneticPr fontId="3"/>
  </si>
  <si>
    <t>non-selective cation channel</t>
    <phoneticPr fontId="3"/>
  </si>
  <si>
    <t>MDTLAWVARELLSTAHDATPATATPSTDHSTPSTDHGSGETFNVTITIGGGHHGGHAGPVDNSIVIGGIDGWIAIPAGDCYCAGWYVSHGSSFEATFAHVCQWSIFAVCILSLLWYAWQYWKATCGWEEVYVCCIELVFICFELYHEFDSPCSLYLSTANIVNWLRYSEWLLCCPVILIHLSNVTGLSDDYGRRTMGLLVSDIATIVFGITAAMLVSWPKIIFYLLGFTMCCYTFYLAAKVLIESFHQVPKGICRHLVKAMAITYYVGWSFFPLIFLFGQSGFKKISPYADVIASSFGDLISKNMFGLLGHFLRVKIHEHILKHGDIRKTTHLRIAGEEKEVETFVEEEDEDTVKHSTKELANRGSFIVMRGNMKAQGIDVRASLDMEEDEEGGMGKGKGKGAGAASLMPGRVILAVPDISMVDFFHDHFAHLGASIELVPALGVENTLLLVQQAMQLGGLDFVLVHPEFLRDRSQNGLVSRLKMTGHGVCAFGWVPSGPMREIIESAGVDGWLDGPSFGTGIDQEQLIELIGYMQAKRKFSNRFGGGGGGGKPGFASGGGFGGKSGLELAPSMSQGSGVPLLQQQNSMMRAPPSPMPNNGMMNPMMNPMMGAGGGNIMMTNMGGMNQAANPLYGAPPSPLSSQPGAGMYGAPQQPQMGSQGSMYNSGSQLQHQQSMQQQQQAAPAPAADGGSEAEMLKQLMSEINRLKAELGES</t>
  </si>
  <si>
    <t>Alteribacter aurantiacus</t>
  </si>
  <si>
    <t>[Singh 2023](10.1021/acs.jpcb.3c02116)</t>
    <phoneticPr fontId="3"/>
  </si>
  <si>
    <t>Gammaproteobacteria bacterium isolate S13.Bin138</t>
    <phoneticPr fontId="3"/>
  </si>
  <si>
    <t>YRILAYMNIGVCGFSALLHFYYFNVIASHALEIRYFYWLVCTVLLVTMFPLLIGGVKFLGQLAAADAGMIICGFFGETSTAGLVLFIIGCALWIYMVVTIFLVLLAYMFFFVLLAWSIYPIGYYFVSHFEETAGVVLREFTFNLGDLVNKVIWGLMVVTAA</t>
    <phoneticPr fontId="3"/>
  </si>
  <si>
    <t>MALSNHPGINFENVFNYSIMQHDIVAHVLTLGFVAHAAGLVYFAFAQKDIHPRLRTATIMSCFIMAAASLNLFRQFSSWNDAFTWQGSAYVMEQTFSNGYRYFNWFITLPLLLTQPMFVFGIKGKVFLRNTLIFVVASAVMVLTGYIGQMFEVTDSALYWLWFIVGSIAYVPLLIVLYRVYFVDREKVPVHVEKLVKGLFYFQVVAWTIYLFAYLMPAISFTPTGVVTRHILYTVADISSKFIYGVWLSYIALKLSAAKGYQPALDKLQTFS</t>
    <phoneticPr fontId="3"/>
  </si>
  <si>
    <t>[Vierock 2022] (10.1126/sciadv.add7729)</t>
    <phoneticPr fontId="3"/>
  </si>
  <si>
    <t>PsuACR_353</t>
    <phoneticPr fontId="3"/>
  </si>
  <si>
    <t xml:space="preserve">ZipACR </t>
    <phoneticPr fontId="3"/>
  </si>
  <si>
    <t>[Govorunova 2018](10.1523/ENEURO.0174-18.2018)</t>
  </si>
  <si>
    <t>MEVEMEMEMEGLGNSTSMFEEVVGCDLGASPVGETEMHVVQWIGSFICIFQCLWFLSKWPNFTWDTPYIPAVEAVGYGLMANGFGYAELFEGERHVPWLRYSIWVLSTPVLLWDIQDILDAFYRGTRLAPVQSLANLFLLCFGFIGAIEHVLAVKYLCYSIGVMMLGVVFFCAYNIVGQAVANFEATDTAQGRLVAFRLKLIACIFMTSFSGYPILWILSNQGLCLVPEMIIEVVHIPLDLIAKNLFTLLTWHTHYILLNGDWSCEAMVARLQEQNDIEMAQQPREAGQLRKDLMQKAQG</t>
    <phoneticPr fontId="3"/>
  </si>
  <si>
    <t>[Govorunova 2017](10.1038/srep43358)</t>
    <phoneticPr fontId="3"/>
  </si>
  <si>
    <t>PsuACR_973</t>
    <phoneticPr fontId="3"/>
  </si>
  <si>
    <t>MAALHQALEELGQGASRHLLYRAPEEMVYGKWVEANPRCIELHDHSDYVYVFQLCFAVVCACQVIFMFTRAPNVGWEAIYLPLAEVVTYSIAANGEGVLRMADGRYFNFAKLAGWAVCCPIMLIQIGGMAQIKYRTIPLNNVVLAASLNRIIFGMASAITASDPARWGFYFCAWICYLTEVGITLTIMAVAISDFSKIKTELGQWVVGRIQTMRIIFLVAWTSFPVVWVLGYTGFCVIHEDYIALLYLFADLLSKNTWGVMMWHTTWVKLNGKWDREFAAAGGHEALKKALEQDVEIGAGEKNQNQLTARQ</t>
    <phoneticPr fontId="3"/>
  </si>
  <si>
    <t>Proteomonas sulcata</t>
    <phoneticPr fontId="3"/>
  </si>
  <si>
    <t>Wobblia lunata</t>
    <phoneticPr fontId="3"/>
  </si>
  <si>
    <t>Rhizoclosmatium globosum</t>
    <phoneticPr fontId="3"/>
  </si>
  <si>
    <t>MTTISEVCGVWALDNPECIEVSGTNDNVKMAQLCFCMVCVCQILFMASQYPKVGWEAIYLPSCECFLYGLASSGNGFIQLYDGRLIPWARYAAWICTCPSILLQINTIHKCKISHFNLNTFIVQADLIMNIMGVTGALTTNIAFKWIYFAIGCILFIFIVLVVYDIMTSAAKEWKAKGDSKGNLVSTRLILLRWIFIVSWCVYPLLWILSPQATCAVSEDVISVAHFICDAFAKNMFGFIMWRTLWRDLDGHWDISRHYPQSSYAKDGKEEEQMTAMSQTDDTEKPHSSQG</t>
  </si>
  <si>
    <t xml:space="preserve">[Klapoetke 2014](10.1038/nmeth.2836), </t>
    <phoneticPr fontId="3"/>
  </si>
  <si>
    <t>TATLA</t>
    <phoneticPr fontId="3"/>
  </si>
  <si>
    <t>MNIFAVTTSYTFEFALITMIAATIYFFLERYNLSDEYKPVSTLAILTTALAVVEYYHMRDFFSLENLSKDNLNYPTEFRYITWLIATPIMLYTYFVLTKFNKTQKPIVILTISLNFLMIVSGYFAESSQLNNVMPVSFTYSMFATGFASWLGIVFIFSSTLPKLINNENNPNNLICLKCLSVVQKLVTYGWAIYPVGLFITFFDSSVETALTREIIYNFGDCFNKVGFALICFACAKKLSKQTV</t>
    <phoneticPr fontId="3"/>
  </si>
  <si>
    <t>MRRKLALTSLCGMPGKLAAACILATVVVSFAAPSIPSIQSVAALDQTALAGHLAPAPAAPDAITVSRKVGEADATTSSPTYIGGNPTKCWNYYYVAGAYAFGIVFQTAFAALMYYYTNRGTGWYGHPFDEKNRRYEYNDIGIYVQIATIVNYCLQFVYNIQNGHGSFNPGNFRYFEYCFTCPFIVLDVCYSVELPHKGLNFALTFFTLFLGGVMALSNKSTTDVYLLFMLSAIAMVVLYSLMLYGVALKWDAIDDSAKPTLKMGLGIFFGIWPIFPIFYALYRDAGFSCELDVSLHLILDIACKGSFGWLMLRYRLTMEDIEWDDMQAELNSLEVASRDGSMPMTPMTPNKRSFRNRRQSLVDHARMEKMMNLNSGIVPKLTYQVHSLSTGTTPRPLSRVGGGFTPQTEDPKRGGINDKRAFADRVAA</t>
    <phoneticPr fontId="3"/>
  </si>
  <si>
    <t>[Chuong](10.1038/nn.3752)</t>
    <phoneticPr fontId="3"/>
  </si>
  <si>
    <t xml:space="preserve">Halobacterium salinarum </t>
    <phoneticPr fontId="3"/>
  </si>
  <si>
    <t>[Takaramoto 2024]</t>
    <phoneticPr fontId="3"/>
  </si>
  <si>
    <t>MTAVSTTATTVLQATQSDVLQEIQSNFLLNSSIWVNIALAGVVILLFVAMGRDLESPRAKLIWVATMLVPLVSISSYAGLASGLTVGFLQMPPGHALAGQEVLSPWGRYLTWTFSTPMILLALGLLADTDIASLFTAITMDIGMCVTGLAAALITSSHLLRWVFYGISCAFFVAVLYVLLVQWPADAEAAGTSEIFGTLRILTVVLWLGYPILFALGSEGVALLSVGVTSWGYSGLDILAKYVFAFLLLRWVAANEGTVSGSGMGIGSGGAAPADD</t>
    <phoneticPr fontId="3"/>
  </si>
  <si>
    <t>Vitrella brassicaformis</t>
    <phoneticPr fontId="3"/>
  </si>
  <si>
    <t>VbChR2</t>
    <phoneticPr fontId="3"/>
  </si>
  <si>
    <t>VbACR2</t>
    <phoneticPr fontId="3"/>
  </si>
  <si>
    <t>MVSADFERNRLVTWKSLTEDDHARVVTSAVFFCTAVYLIYSMGNTHKRMIRQPVELRLQFCLILNVYVCWTSALFAWIAMGNMDDSTTGDVSKYVEWLLTCPVMQYQMVVLAGTKVNPRRKFEAPMVTACMLLSGMTASLMANRIVKMAFFMVGVGFLVWLITIINGLIMEHTDGRESLLQGRGYHRIVVCTLVTSWFPFPLFWLVSADGFALARGGRIRLALTILNASAKIGFILFLTMCRKKWMRNAIAKRNLSRQLSRSKFNIDVVSDLDQGLMGAIEEFVGAKEHDKDDIEPPIQMFIEDWSLGNRKELSNAIFHFIKANRSKVDMSQSHKAFRGDDDLDDGDGYSEALANEGVDDPPASHHSQSHPHNPPKHGPTASTSLQHSQSGHLDTKQTQGSHPKVSSGRRTKRAGSLTRFDLSGTTNINTSKGSSSGASAIKQQHHQQQRGRSSSSASLGGGGGRLHRSDSNVSHNHANVNDENDDDRALPVLPAKKALGVSSGVVGGGLGSGKVAMAVASPTGSYHADLLPVMQGDQDD</t>
  </si>
  <si>
    <t>Ct-RB</t>
    <phoneticPr fontId="3"/>
  </si>
  <si>
    <t>Cymbomonas tetramitiformis</t>
    <phoneticPr fontId="3"/>
  </si>
  <si>
    <t>regulation of ion channel</t>
    <phoneticPr fontId="3"/>
  </si>
  <si>
    <t>Rozenberg et al., NSMB, 2022</t>
    <phoneticPr fontId="3"/>
  </si>
  <si>
    <t>MKPQAEAPDTAGGRQLAYLATLLPPPNPPPTAIAPLRPSLSTNPKHHTPEEPGLEELGDHGSTSVPIKDPSWPPSPPQSLPGNSFDIRSPFALSKSIYLGEARITAIMCTAFVVSLGHLYLYPDLFGVELCPSEDVPADERMIFHHGWSAMLVIALIEVISFCLKAWSTAHHPVLANAMAQKLEGNLGVLFGEYLVVGTGYLLMGTNIMPVFLDPRTGRRVYGVRYMVWFVDACGLIYLDCRCLFSQEFKSFWRSYIFMWGNVASGLLAALAVKWSVHWLLLLISVLCVAVVVYMLVDIAWRDPRPRSGFGKAPVKLGILLFLVACWGLYGLIFEAGFQELISPWTEQLLFTGLDLSMKITHTVVLMAFRATQYDIDAEVGRMRSEQRRFVTELALERATTERDLAQLRERQMAANSVSLTALALHQHGADTHHTLSTVQEQQWVPGYGGEIARSEAETEGSFGERSGSMGMRRRGAWRPSYLKGAEGELQHNWTSTPGLQLGLPTVMQLQSRMGQGVMTEATRRGVMGAEEFEELRRLEDLGGLHDAMENKYNVQLREQTYLISGLNHIMYNPQHWTATLVQLRGRACLPAPGRLLLLEALCLQLLAEFAPEVAKQIEMTGTMHALLGSAVLFLVVFRTQYAFRKWWDGRTAFGRMTQISRTLAQELCNYVNDDAACEQCVRYIIVAVVATRCHLRNTPLEPELLAGIIEDHEIEEVAQQRHMPFFATMKIRQGLRKAMLANKVMPFHMAIEKSICSMDVEIGQTERLLTPMPFIYVAHLRSLLFLFLFGLPFVFLVSLGRLMMLCVGVACYLLMGLEDTAVELENPFGNSANHLPLDLYCIDISRALLEMLAARETMPLPDVNVKLHKKHKLRKKKKEEEEEEEEEVAEEGDDDDDDDDG</t>
  </si>
  <si>
    <t>regulation of ABC transporter?</t>
    <phoneticPr fontId="3"/>
  </si>
  <si>
    <t>Ornithinimicrobium cerasi</t>
    <phoneticPr fontId="3"/>
  </si>
  <si>
    <t>MGSTGTGSTASTTRADESRYAGLRRYNVVAAVVHAAQAVAVVVLATDFTLPMTASYLAGPPGSPPGEAVTLWDVPIPLAIATFLALSALFHVIVASPPFFDRYRRGLAQGHNYFRWVEYSLSSSLMIVIIAQLVGISDVVALLGLFGVNASMILFGWLQEKYHQPGDGGWLPFVFGCLAGAVPWVGIVLYTIAPGSTSGAEPPGFVYGIIVSLFLFFNVFALVQWLQYRPVGRFRDYLLGERLYITLSLVAKSALAWQIFGGTLAT</t>
    <phoneticPr fontId="3"/>
  </si>
  <si>
    <t>regulation of glutamine synthetase?</t>
    <phoneticPr fontId="3"/>
  </si>
  <si>
    <t>[Cho 2024] (10.1038/s41467-024-48650-1)</t>
    <phoneticPr fontId="3"/>
  </si>
  <si>
    <t>VChR1</t>
    <phoneticPr fontId="3"/>
  </si>
  <si>
    <t>VChR2</t>
    <phoneticPr fontId="3"/>
  </si>
  <si>
    <t>1E12</t>
    <phoneticPr fontId="3"/>
  </si>
  <si>
    <t>Df-RRB-2</t>
  </si>
  <si>
    <t>MPAPRRPGCGCACEHPAAAGNVSSDDEPDAVGASVRSGDIFAATLHAEGAEASRGSREPAAETRVVAAEPGDSAEEPEGQAQARKEESEAADDGSLLGSNLTEGSTPHPVHLTTLGEVGRTETYTCALFVLSYAVLLAHVYIYPAYFGVEVCPAHEVPSDELGYFHHGWTAVSVIFYIEAIPLCIRVWATRQHPLLASAVAQKMEGNIGVLFAEYIIVAATYSIMGYNRMPVFVEPRTGRRVYPVRFVAWLVDGCGLAYLDCRVLFGQPFARYRTIFVYVAANMLFGLWSAISPTWALHYLFLAAAWLFFAITCAMLVNFLRRDPEPLQPFGRAPIKRSILAFIILWQVLYGVVFMLAFQAPASLLPQWLEQLLWTGMDVIMKLSHTCVLLAWRASQREIEAFLLKQKAEAHSVVARIDRQRAVVERDLAEVRGRLRRQSSRLGLEDGAECVACGGAGCALCGRGPELPAHPTMSLTSGDMLPGPPALAPGVSGPEVPTPTFRDVNWVYLREAGICGCLLAAYAAAVVHLQVYSRVFGVELAPQESAAPAAERAFFHHGWTSMIVVFLIEAIAVILKVWSTWHDPNLAMAAAEKFGGHIGALIGEYFVVGTTYALMGFNLAPVFLEPRTGRRVYGARFMAWLVDSCGLVYLDCRCLFGRSFPEFRAALAWTAVNMMCGLWSALASSWAWHWFFLLCSWLSFFMVCAIMVRFMLSDPYPLEPFGRTLVKPFILALIIGWQALYGVVFMISFWPEQVLPEWLEQLAWTGMDVVLKLFHTAVLIAWRATESEFGALTSKRRAEKRRTRDLRIVERAKAQKQEIIDQEQEDEFEERGSGGGRSRSPSPPPRARAANWTATPGLSLDIASMLRLEAHLGQGAVSQEQRKSMMRAEDLEELRRLEQAGSVTAKLQEDFVSNMRDNTFLAHGINHIAYDPRSWFSTLLAVRGRAPTSGAMWVLIAESIVVACLAQIAPEIAPHLAASLHSLLSGSVAFLMVFRTEYAFRKWWDGRTAFENITSNSRTVSQQICAYVTDVRLVDKMVRYVIVNTVATRCHLRKTRIDPHMLAGILTKAEVEEVNRQDNMPYYTTWVIRYCLGEALATQTCLPCHMAIDAGIRALECAMADAERLLTPMAFTYVVHLRTFLFLYLLGLPFILVADLGWFMVIAVAVVSYLMIGLENTAVQLENPFGLDCNHHPLDLYCLEVVRDLLSLLDIRAGAAVEQPLRLRMRRSSEQMDECDDGAD</t>
  </si>
  <si>
    <t>[Rozenberg et al., NSMB, 2022] (10.1038/s41594-022-00783-x)</t>
    <phoneticPr fontId="3"/>
  </si>
  <si>
    <t>Kv-RRB</t>
  </si>
  <si>
    <t>MTVSTSPPAALMINPKGPPLASFGVGKHPDVHDGDPGVLDEDIGPTRKAPFVSEVREEFQASAARSISDIDDQEDVESLDMAEAINIYKIEALKCGGLVLAFAVALGHLYVYSTFFDIATCNTDTIPDLELRFFHHGWSAMLTIFLVEFCAMGLKVLCTLRSPVLAVAVARKFEGNIGVLFGEYIVVGATYVIMACNLIQVFVEDRTGRRVYGVRYMEWTVDVTGLVYLDCHILFGRPWQQFYVAVILSVAYMMFGLWSAIAPSWTLYWVFLAASWIAFFVVCWILIRFLHQDTNPVQPFRAGVKPGILAFIIAWWILYGVVFMVAFAELMSQETEQLLWTGMDVVMKLSHTVVLMAWRASQTEIDSVVQKCRAEAERFVAELDRERAATTRDCMKLVVQLQRRATAQPTDELDTSEIKLQESELPHSMIEAGGRLIADTKPTAESSTTRSMTIASKERNRRSSSTCFEDIRAIYKGEVFKCVVLCVAYGVALLHIYIYPELFNVEIAAPEDIPDNELHNFHHGWTSMAVVFLIEALTVSLKVICTWHEPQAAQILAQKLEGNIGALFAEYFIVGMTYIIMGYNMMPVFIEARTGRRVYVVRYMAWLVDACGLISLDCHCLFDRSFAEARITFVWAVAYILFGLWSAVSSSWLWHWIFLSCAWLTFGLTCLKLLHFLWIDPYPREPFNNALVKPAILTFIIVWWVLYGILFMVAFQAPEIMPQHVEQLLWTVMDVIMKLSHTVILIAWRETQWDMDTVVSRRKAEQERNKAVNEVKEISRHARRMKSQVVKGINAGSNWTLTPGLAVGLPDIFRLQAEVGQGALSEGQLRSMMSPAEFEELLRLEKLGMAQAQLREEWEWQTREQTFLSAGVHNINYDPGHWTETLIGIHGRAEPSRPCWVIAFVALIVAAVNEIWPEVGEKIVISNTIHSLMGGSIMFLVVFRTQFAFNKWWSGRQAFGDIVLNSRTVAQQVCSYLLDDQACHKVVKYIIAAVVATRCHLRSTRIDPNMLIGILSKTEVALLNQQTSMPYYATWIVRSTVAEAVQKGHYLPFQMAIERAIMSLEHSIAASEELLTPMPFVYVAHLRTFLFLYLLFLPFVLVADLGRVMALAVALASYLLLGLENTAVKLENPFGFDPNDLPLDLYCVEVSRELLGILKQRAQGKIAASNSGILHRIAEAQGSDDMHINPNHEVQDDMD</t>
  </si>
  <si>
    <t>Pa-RRB</t>
  </si>
  <si>
    <t>MASSTAAPPATVPATEAAAAPSPELRDSVPLDAAGDASPGARSAAGSTIIVGAPELEREYSDINFAQVAWDEGRRCLLMCVAFAVAIAHLYIYPALFGVRIVDATEVPAEERTYFHHGWTAMLVIFFIEGVTVFLKVCSTRNTKWLEKAVLQKLEGNIGVLIGEYIVVAATYILMGANLIPVFEEPRTGRRVYAVRYMEWTIDACGLVYLDCRILFGMPFSKFRMLLVYSILYMLFGLWAALASTWMWYAIFLSASWFFFGLVCYFYWTFHRQNPSPLQQFGRAPIKQAILIFVIVWWVLYGILFMVCFQAPDVVPQWLEQLLWTGMDVVMKLSHTVVLMAWRETQWEIDAVVDRQKAEAGRALAQLDHQRAIHERDLVRLRSRVYLGDHVKTQEERKSEDVLNKAVRARRSRQGEDDARPSSALLSGGEASPSTKEPQQPLEETSGSAAPSWTAVLAKGKATSSPFARVNQIFMREAGLCLVLCLAFMVALLHLPIYSEWFGVEVLDAEAVPHDELGFFHHGWTTMLVVFLIESITVLLKVWSTWHNPRLAENVAQQLSGNLGVLIAEYLVVGATYVILGYNLMPVFVVHRPGVASRRVYAVRYMEWAVDATGLIWLDCHCLFSRTFKEFRMAIVWTVAYMLFGLWSALASTWAWYWAFLLASWAAFLIVCLILVRFLRQDPYPHQPFGKTPVKPCILAFIIGWWVLYGILFMICFQAPDFVPQWLEQFLWTGMDIIMKLSHTVVLMAWRTTEWNVCELHGRNQAEKNQKSLLTDSSRARQEKLQIEAIMLEGGDPSARTSGVVSFAPSSSRRVKETDSTNWTATPGLHVDLSSMVRLEGQLGQGLVTDVHRKGMMKSEDLAELKRLEESGFLQAQQHRNWESQTREMTFLAHGINHIAYDPRRWTQTLLAVRGRAPTSFLLWVVLVESSIVLALSKFFGESFDLGVSSGIHSLFGVLVSFLIVFRTQAAFKKWWSGRSAVSSLVQMSRTFAQQVCAYVKDEAYVNKMVRYSIATVVATRCHLRNTRIDPAMLLGVLKEEEIEELNRQKNLPFYTTWVIRSTLAEAVSEGACLPLHMAIENALKAIEQSIADAERLLTPMPFTYVVHLRTFLFIYLMGLPFILVEDLGWLMLVAVSFLGYLMIGLENTAVQLENPFGTDCNHHPLDLYCLEVSQDLLHLLDLRASAKAQVDPPAAEQKARSAKSANTSTLMTAMKTGLKNRKPPKGRKEEDDDDGGGDDGGGD</t>
  </si>
  <si>
    <t>Dinophysis fortii</t>
  </si>
  <si>
    <t>Karlodinium veneficum</t>
  </si>
  <si>
    <t>Phaeocystis antarctica</t>
  </si>
  <si>
    <t>regulation of phosphodiesterase</t>
    <phoneticPr fontId="3"/>
  </si>
  <si>
    <t xml:space="preserve">CpRGC </t>
  </si>
  <si>
    <t>Cladochytrium polystomum</t>
  </si>
  <si>
    <t>MAEGDVRRGECRDCGCREYQKSEGSKRCDRCGHGLSFHKVLGAEASAPQSGQKLTWQQKLQAAKQERNLSGASYYIIRNFAIWSVVTALGVLYCLAVPGPEFDRGFSDEFYMFNALAFFLAICYACISYFTSKSSEKKELSKILICINIVACISYIIQAYRLTPCFLDFVGHPVDVSRFFEWFATCPILVYLIAAITRNSEYASLTATMDYSLLAAGFIAAMVKQPYSELFATLSTCFFCYTLANLMWMYNRAIRRETPCQLDVSSLYNARATTFIAWNAFTLVWYIQRGELVSFEFGELLFCISDLFGKVFLTLILVSATLEESSNDRYNKMVNLTSEMEEQMAQSDKLLEKLMPPGLIEQLKNGTQTGAEEYASVTVFFSDITNFPQLSSHSSTKDMLATLNKLWQEYDVICRRWGMYKVETIGDAFLGVIGAPERIPDHAERAAKFAIDVIKMVKNFRTVNNEEIMSRVGLNSGPITAGILGDSNPHWCIVGDTVNTASRMESTSKPMKIHISESTYNMIKNGSFDITGPEEMNIKGKGLMKTYWVNVV</t>
  </si>
  <si>
    <t xml:space="preserve">CpNeoR </t>
  </si>
  <si>
    <t>MSTKRQKWEEKIQTDSGHVDQSMIFPWLNFIVWIVLTAIITYFRVTVAGSVKVLNRGTADWWYKCATYTFGVAFVLAYLGTKSTRDKEKKATISCFMFIFSVVGLSWIISYLRLTVTLVDTARNPLDLCRWTEWIHDMCCIAYIIGRVTNADPRNTYTSISSSFWIGAFGFLAALARQPYCEFFATLSTVSNLHAFAHMEYSFQRAIDGEKSCKYDVPTLKAIRAVTYFAWTFITLAWYIQKSLLISFAAGEAGIFIGECIAKIGLMLLIINSSSDDTGKKVDQMAMISTEIQSAMENTDKLLEKMIPSSVLDQIKSGQAASAEEYASVTVFFSDIANFTVLSGRTSTKDMLASLNKMWVEYDAISRKYGMYKVETIGDAFLGVVGAPDKVADHAERAADFALDIIEMIKTFRTVTNEPIQIRAGLCSGPVTGGILGESNPHWCIVGDTVNLAAKMESSSKVMQVHIAQSTHDLLKSCQRFVLTEGDDVNIKGQVIKTWFLTRK</t>
  </si>
  <si>
    <t>[Broser 2023](10.1073/pnas.2310600120)</t>
  </si>
  <si>
    <t>CpRh-PDE1</t>
    <phoneticPr fontId="3"/>
  </si>
  <si>
    <t>SNNNNSSSASASQKRKGKARNIAIASTKEVRWQGIFMLAVWTTVVACLIFFADKEASYRVFAKYSHLQSFYGATSVAFAFAIGLDILAYTNAVSDEKRVLSGILAYVDGVACMSYAAMSSLNLYFLVDSTQGNPVWLMRYAEWMVTCPTILYWCGLAARAERSSVSDIATADALLLAGGALSSVLPSWPAFFVFFAANAIFVYVMIHMWHMFGKAMQPDFQPPPPLPRHALHLLRVEILMSWSIFGLVEATRRQGLIDYQIGEAINCIADYAAKVGLAMIIMVNCNLEQINALRVQQMHQALTGMLKVMRKTNISSARMAQMEDVDDDVRSWLVNEYAGTNEEEASSNRQGRPRSRRSVSISQEALNSNLFTWDFDASDKSDEDLTAVCVRIFQELHVIEQFNIDEKKLRKWLQRVRAQYHKNPFHNWKHAVMVLHSTYLLVSTVAGEFISDVELLAMLIAALSHDLDHNGVTNAFHVNSRSELALVYNDQSVLENHHCHVAFEILLEKGCNIVENLNHEEFKRLRAVIINSILSTDMATHHTKLAKLEEINRLGGFINLPENDDQRLFVLSVLLHTADLANPTKPFAIAKRWAARLQKEFNNQVELESKMGLPSLPFMKGSGEEALAKGEIGFISFVIRPWHQQLSQAFPKLEFLLETVENNLSEWTTVAESYRRTADV</t>
  </si>
  <si>
    <t>MIDPKLRQPLLVLSLLWMVAIFILNLFGHQDRTTWLFNTYDQLKTIYEGTAVAFCFAIVLDILAYQYAVNNSKKALALVLTVVDTIACLSYVCSASMPLYYFFDEFDNPVWVVRYAEWMVTCPLLLVIVALAASAPMDQMLDLVIWDTCLNTLGLLSSVIGGKLGLACFGLASLIFVMLLWRVSQIIQDSTVAGRKPLAPRPALRLLHLEIIVSWSVFPAIELMRRYGGLDYQTGEALNCINDGAAKVGLALILFSCNLDSYMARDATLRTALGDVLMMVTKTGVETSSLAVLDELDDDVKAWFNQQYGNVLPVPENERMAPSWEARTLEATMAAPNPSSSIEQWDFSTLHMASDELVKVSVRMLDQLSLLRLYGIEKPAMVLFVKAVAKAYRDVPYHNFANAVQGLHFAYLFIRKAGLAWGRDLEVLALALAALLRNVGHAGLTNGFHVRARTELALTYNDTSVVQQAHCSKAFQLLLDSKTGLLSHFDQDTVAELRTLMISFILSTDPTKHQAQLSALQQVKAGSCSVPHLETDPDLRRLLLTSVARTCDMACSLQPFHLAQAWARRLQSEYNRQAEQETALGLTPEGYLTKKLDLHIAQAQVMDTTLIVRPWIEQLSDLLPSFDYLIDNLDDNLSKWQEAAL</t>
  </si>
  <si>
    <t>MrRh-PDE</t>
  </si>
  <si>
    <t>CfRhoPDE1</t>
    <phoneticPr fontId="3"/>
  </si>
  <si>
    <t>[Sugiura_et_al_2020_ACS_Omega] (10.1021/acsomega.0c01113)</t>
    <phoneticPr fontId="3"/>
  </si>
  <si>
    <t>Microstomoeca roanoka</t>
    <phoneticPr fontId="3"/>
  </si>
  <si>
    <t>Choanoeca perplexa</t>
    <phoneticPr fontId="3"/>
  </si>
  <si>
    <t>MMRSLLASTGASEDASCACGNSTGDGHDSEHHEDYSLNFLGDNYNSFLWLGFAAAAITFIFYVRERYLQRHCPWQVMYIAILEVTVYLLELFAHHEDAILIHLYNGNTVYWIRYAGWLLTCPVILIHLSQLSEENETHLTEQLLKMVTSNQVMIVFGITGAISSGASRPVCFIGGCIACGQLYVAAMEVYNRAYALYPAQALPYINLMRAIFFITWSLFPVFYILGPEGFDAISLETSVVLHVLNDMFAKNLWGFLAYYVRSNLLHDVAAKMGLSEAEYLRHRVYASSAVKDYMH</t>
  </si>
  <si>
    <t>MCNFFRKYRHGEMEVAHKFVVGGRALLAGSEDYGAAYTTEFGKSYLGWEILVLLISAGLFAFYAHERYRGKGAEWEVLYIALVECVIYLAHIMYPKAPGAVILLAKGAPVNWLRYAGWLVTTPILIIHMQSLSGVAKLDDRLIQMLICNQAMILFGVTGAIATGASRGVAFTAGCVAMFILFYKAGEIYSKAFKTYPQAAKSWLVASMINFYVPWSCFPVLWLYGPEAGGQMGNGESVIAHCVADLSAKMTWGYITWHIHHVILHRVAHDYDLSMEEYSSARMFDVQFGHDADWTEDDPDSPSTFALDMVFTRRELEESLEELNHGRLRPSERRKYSKSQHRAGDHRDLRGGGRGGGFALLVXAAAAAAAAYDPAPRPRLTLIWSAAEVGRTLGVGQMPRTKTTMK</t>
  </si>
  <si>
    <t>MEDDSWLEEDSWLGRTLLGASGDGENSCIHRVSSLKHVTPLGEYSLAFELMVFFVSAFLFFFYIYQRVRGHGAEWEVLYIAGMECVIYVLHMAFPHEPGTLIYLDTGVHIMWLRYAGWMVTTPIIIVHLGSLRGRAQLDLELLEMLVYNQMMILFGVTGAVATGAGRGVSFVLGCIAMFALFVKTARIYWGCYQTFPERAKPWLHAAVANFYVPWSIFPVLWIYGPEVRVDFQDGESVVGHALADLSAKMTWGYVMWHLHHVVLHETAERYDMTVEQYVGARKFDVENHFKPNGSDPDAPSEEGLAMVYARRELEDTLEALNGGEAVKRKRQIQREKRERKHGSHGGSRGSFDDMRPGGSVDGVEAPPPRSSSDLSGMVQSALDRGRASSRRYSISHEDDPPPPRKGSEEERPPRGRGLSRHGEPGDGAVHFSDRSGPNTPRSHAVGQDQPQQQPPLDVAALQQQLADMARAVQAQVGGQQQQYGGRR</t>
  </si>
  <si>
    <t>CtCCR</t>
    <phoneticPr fontId="3"/>
  </si>
  <si>
    <t>MsCCR</t>
    <phoneticPr fontId="3"/>
  </si>
  <si>
    <t>Mantoniella squamata</t>
  </si>
  <si>
    <t>CsCCR</t>
    <phoneticPr fontId="3"/>
  </si>
  <si>
    <t>Crustomastix stigmatica</t>
  </si>
  <si>
    <t>Rozenberg et al., 2020</t>
  </si>
  <si>
    <t>sTACR1</t>
  </si>
  <si>
    <t>Stramenopiles sp. TOSAG23-3</t>
  </si>
  <si>
    <t>mgACR1</t>
  </si>
  <si>
    <t>CarACR1</t>
  </si>
  <si>
    <t>Cafeteria roenbergensis</t>
  </si>
  <si>
    <t>MLVHLHTAVQFMVFIVSFMSFVFYGYQKWQGQSRVDWEIIYVVGIEVVLYSLLMGLPEEYTNINGAIPILRYMSWLTTCPVLLSNVICLLAGKRDFRMIAFPWLLNLWTTIFGILSAIYWGPLKHVCYGLAFVAAGSLYVELIRISGTKNVKSLPMFPERKRLLQFLMITWLIFPVLFSLGPEYGAVITFRQSALFHAIGDLLSKNLMGFFSWSLGNTMLDRLERSESTEEEDEYRVNIQDIKGEEMGPVRPAKVVKRGKGRGAYRRARTGPATLPSIVDRIVSIERMLSGNCGDASYPSETKQNSAVVGENAAVMRKEESEKEDIDSRIRQYLNRYH</t>
  </si>
  <si>
    <t>MSIEVPLDKAGQVLVCIVSYATALFFFIQRKNERCSWQNLYVMFVQGTCYLVFAAVPVEDKIRTIVEVVDGVEVSTEVVLIRYLSWIVTCPVMLELICEVVHDGDPGTAFVMRMVMSILFTVSFGVIASVYSAAAVKYTAFALACCAFLSIYTGIYGLFKKTQAEANNEVKRSLMVWRRVLLIFFMVSWLIFPTLWLLDAGQTGIIDHTWSGFGHAMGDLVSKNIFSILAYIFRQKLLDCGDEYVARKLSPKNWVKRVRKAHVRRSSWTAAHEEQAEQDARILAEREHSNQTTLDSNGLGEVELQMRNGAVTPEPSRSSSPRHSPRDSPNGLPLGLGGSGPYLPSSPLNR</t>
  </si>
  <si>
    <t>MAEEAVSLDLATYVAITIIVISLLQLGFFWYQRQQKNCGWEVMYVTAVEPLGYLLGLLFPAGRVALASGAQFFSIRYFGWLATCPVLLILLTNLPRGKYKRPQDTLVALVSNQLMIVFGIAAIFYEGTAKGILFVLGLLAGAVVFKTAMFTFLRASESFPASAKTTLWIAAGCFFVGWLAFPILWLMGPEGYGSLDFGLSQMLHALADLVSKNIFGFASWYLRFKIIKKWEA</t>
  </si>
  <si>
    <t>MANTDIGVNIFLLIVSIMELLLLQIGHMRDKVKWEAMWVIFIECVAYGSSIISPDEGFVTMHLENGMQIEWLRYVGWILTCPVLLMTLVSMTTAEGTKPPTVRLVPLLVCNLTMVLFGITSGSVLEPTKWYVFGIGVCFGGVVFSSVVQCLWALYCDSQNDSIKCVSALLALTFITGWGIFPCNFVVGHSGFGIVSDQFYITMFVIGDLLSKNIWVAVAVWRNHLVDLANAQQADEEAALEMQQAQQGADGKAALDQIDVQRFEQESVPDWRGNPRMARRGSCSTLILNEVNAVTPERKR</t>
  </si>
  <si>
    <t>MEAMAMSEHELWRREFIRVLQTQPTTDETVSQGVAGASLCVFSCSTALICFYGFQYRNGRCNLHPIYVQFVTFCVYSLACFGTTDFLYIPIENHAGDVFDLAIGRYLFWMMTCPVIISNVNILLNLMTPDDLELGHVTFMMVKDIVMIAFGVLAAMQKNVTLKWIFNLASYFVCFWLVVDLLAMIREKKKHFIVHERCWEWVLAVMTYFFFAQSLFIFLYAFGPPCFNLMGPDGDKIGHSVGDLFAKNLFGFFAWYVRFVVLEPFVKRIRSARAVTPYQRGSDAMAPHKMRNVSFLNRKT</t>
  </si>
  <si>
    <t>MSYNETVWREDFAQVLLARPQNSGVVSQGVAGARLCVFSCSIALLCFYTFQWRIGRCNLHPIYVQFVTFCVYILSCFGTTDFLYIPVVDHAGVTFDLAIGRYLFWMMTCPVIISNVNILLNIMTPDDIELPQVTFMMVKDIVMIAFGVLAAMQQNITLKWIFNLASYFVCFWLVADLIVLMNEKKKFFMVYERCWEWIFAVMIYFFCAQSLFIFLYAVGPPCFNIMGPDGDRIGHSVGDLFAKNLFGFFAWYVRFVVLDPHVKRIRGARAVSPYQTRPVTATDQTSNRVSFLGRKTNTKK</t>
  </si>
  <si>
    <t>PgACR1</t>
  </si>
  <si>
    <t>AlACR1</t>
  </si>
  <si>
    <t>HfACR1</t>
  </si>
  <si>
    <t>Phaeocystis globosa Pg-G</t>
  </si>
  <si>
    <t>Aurantiochytrium limacinum ATCC MYA-1381</t>
  </si>
  <si>
    <t>Hondaea fermentalgiana (Aurantiochytrium sp.) FCC1311</t>
  </si>
  <si>
    <t>[Govorunova 2021](10.1128/mBio.01656-21)</t>
    <phoneticPr fontId="3"/>
  </si>
  <si>
    <t>[Govorunova 2020](10.1073/pnas.2005981117.)</t>
    <phoneticPr fontId="3"/>
  </si>
  <si>
    <t>PymeACR1</t>
  </si>
  <si>
    <t>MMMMAPPESTDAEIAIRKGIEWIDFIMSVSLFAFFYYQKTVKKRCKFEVLYVTGVGGISDFIKVTAATVVPARLTIQENGIKFGWSRYFGWLTTCPVLLIHLSNLAGKEVFDVRRMMKILVAYQLLMCSGATAGMTDKDNIKWGFYLFAVFWLFVVFRYGKSIFAEAKMAMPKRAAPVLYRIMGIFYGGWAAFGITWFMGPEGVGWISPDAAKAVYAVLDILTKNVYAMHGWYLRWYILRKHNKPEEFVEQENVAEENQPKELKILLVEQDEVFGYFFYNMLVQHGSKVDLAKNLSELMA</t>
  </si>
  <si>
    <t>class (function)</t>
    <phoneticPr fontId="3"/>
  </si>
  <si>
    <t>cation channel</t>
  </si>
  <si>
    <t>cation channel</t>
    <phoneticPr fontId="3"/>
  </si>
  <si>
    <t>anion channel</t>
  </si>
  <si>
    <t>XXXX</t>
    <phoneticPr fontId="3"/>
  </si>
  <si>
    <t>remove</t>
    <phoneticPr fontId="3"/>
  </si>
  <si>
    <t>HeR</t>
  </si>
  <si>
    <t>HeR</t>
    <phoneticPr fontId="3"/>
  </si>
  <si>
    <t>anion channel</t>
    <phoneticPr fontId="3"/>
  </si>
  <si>
    <t>regulation of transducer</t>
    <phoneticPr fontId="3"/>
  </si>
  <si>
    <t>include</t>
  </si>
  <si>
    <t>include</t>
    <phoneticPr fontId="3"/>
  </si>
  <si>
    <t>All_include</t>
    <phoneticPr fontId="3"/>
  </si>
  <si>
    <t>Synthetic</t>
    <phoneticPr fontId="3"/>
  </si>
  <si>
    <t>no</t>
    <phoneticPr fontId="3"/>
  </si>
  <si>
    <t>regulation of guanylyl cyclase</t>
  </si>
  <si>
    <t>Pyramimonas melkonianii</t>
    <phoneticPr fontId="3"/>
  </si>
  <si>
    <t>TfHeR</t>
    <phoneticPr fontId="3"/>
  </si>
  <si>
    <t>Trichococcus flocculiformis</t>
  </si>
  <si>
    <t>Bacteria</t>
    <phoneticPr fontId="3"/>
  </si>
  <si>
    <t>regulation of photolyase</t>
    <phoneticPr fontId="3"/>
  </si>
  <si>
    <t>[Shim 2022 (10.1128/spectrum.02215-22)]</t>
    <phoneticPr fontId="3"/>
  </si>
  <si>
    <t>BcHeR</t>
    <phoneticPr fontId="3"/>
  </si>
  <si>
    <t>Bellilinea caldifistulae</t>
    <phoneticPr fontId="3"/>
  </si>
  <si>
    <t>MTSESNGPLVAAAAELKKFQGLRRFNLIMGFLHLIQGIFMWVVSNDRTYPIFTNYLTFDRATFTLTPNPQLLYELPFGPAVAVFLLISAVAHFYLSTIGYRPYVENLKKGMNPIRFYEYALSSSLMVVLIGMLVGIWDLGTMIAIFGINAMMNLFGIMMEVHNQTTTRTNWLAFIYGCLAGIVPWIVIFLYFMGAVNSGDAKPPAFVYAIVPTLFVMFNIFAVNMVLQYKKVGRWKDYLYGERVYIILSLVAKTVLAWLIWFGTLAPV</t>
  </si>
  <si>
    <t>MKEITTEKLRRFNLIMGGLHLIQGIAMLFLATNVIQKIGEFSPEISQFYLAFNPETRSLETASRVLFELPFGVMVASFLFISAIAHALVSIPKKLNEIYNADLVKGINKFRWFEYALSSSIMIVLIATLFGIYDIASLILIFIVNATMNLFGLVMEQLNVGRSKDNIEWGPFIWGSIAGVAPWIAILLYMFGTGNFGEVPWFVWAIVGTYFVAFNTFPINMILQYKKVGKWADYLYGERIYIVLSLVAKSILAWLVLFGAMQP</t>
  </si>
  <si>
    <t>[Shibukawa 2019 (10.1021/acs.biochem.9b00257)]</t>
    <phoneticPr fontId="3"/>
  </si>
  <si>
    <t>MTVDAHSTVDAHSTVTDSHSAGNGTESCYVADFLGMHHESHEGALYSVYKSLEWGCFLISIGLFVFYLQQYRKKTAGWEVIYIAFIESFKYIFEIFWPHNNPAQLNIYGVNKSVPWVRYMEWMITCPVILMALSNISGEEGEYTHRSMQLLATDQGAILCAITAAASEGAISAVFYAIGVCYGICTFYFCLQIYIEAYFTLPETCHSAVKWMAVIFYAGWLCYPCFFLAGSEGWGNLSYEGSAIGHCIADLLSENAWGVMHWWIRCQLEEYK</t>
    <phoneticPr fontId="3"/>
  </si>
  <si>
    <t>MFAINPEYMNETVLLDECTPIYLDIGPLWEQVVARVTQWFGVILSLVFLIYYIWNTYKATCGWEELYVCTVEFCKIIIELYFEYTPPAMIFQTNGQVTPWLRYAEWLLTCPVILIHLSNITGLNDDYSGRTMSLITSDLGGICMAVTAALSKGWLKALFFVIGCGYGASTFYNAACIYIESYYTMPQGICRRLVLWMAGVFFTSWFMFPGLFLAGPEGTQALSWAGTTIGHTVADLLSKNAWGMIGHFLRVEIHKHIIIHGDVRRPVTVKALGRQVSVNCFVDKEEEEEDERI</t>
    <phoneticPr fontId="3"/>
  </si>
  <si>
    <t>MLGNGSAIVPIDQCFCLAWTDSLGSDTEQLVANILQWFAFGFSILILMFYAYQTWRATCGWEEVYVCCVELTKVIIEFFHEFDDPSMLYLANGHRVQWLRYAEWLLTCPVILIHLSNLTGLKDDYSKRTMRLLVSDVGTIVWGATSAMSTGYVKVIFFVLGCIYGANTFFHAAKVYIESYHVVPKGRPRTVVRIMAWLFFLSWGMFPVLFVVGPEGFDAISVYGSTIGHTIIDLMSKNCWGLLGHYLRVLIHQHIIIYGDIRKKTKINVAGEEMEVETMVDQEDEETV</t>
    <phoneticPr fontId="3"/>
  </si>
  <si>
    <t>METAATMTHAFISAVPSAEATIRGLLSAAAVVTPAADAHGETSNATTAGADHGCFPHINHGTELQHKIAVGLQWFTVIVAIVQLIFYGWHSFKATTGWEEVYVCVIELVKCFIELFHEVDSPATVYQTNGGAVIWLRYSEWLLTCPVILIHLSNLTGLHEEYSKRTMTILVTDIGNIVWGITAAFTKGPLKILFFMIGLFYGVTCFFQIAKVYIESYHTLPKGVCRKICKIMAYVFFCSWLMFPVMFIAGHEGLGLITPYTSGIGHLILDLIAKNTWGFLGHHLRVKIHEHILIHGDIRKTTTINVAGENMEIETFVDEEEEGGVAAAPV</t>
    <phoneticPr fontId="3"/>
  </si>
  <si>
    <t>MDYGGALSAVGLFQTSYTLENNGSVICIPNNGQCFCLAWLKSNGTNAEKLAANILQWVVFALSVACLGWYAYQAWRATCGWEEVYVALIEMMKSIIEAFHEFDSPATLWLSSGNGVVWMRYGSWLLTCPVILIHLSNLTGLKDDYSKRTMGLLVSDVGCIVWGATSAMCTGWTKILFFLISLSYGMYTYFHAAKVYIEAFHTVPKGLCRQLVRAMAWLFFVSWGMFPVLFLLGPEGFGHISPYGSAIGHSILDLIAKNMWGVLGNYLRVKIHEHILLYGDIRKKQKITIAGQEMEVETLVAEEEDAAAKSRITSEGEYIPLDQIDINVGAPG</t>
    <phoneticPr fontId="3"/>
  </si>
  <si>
    <t>MEPVLGLASTAVRELTAGGSGNPYESYKPPEDPCALTPFGCLTNFWCDPQFGLADAKYDYCYVKAAYGELAIVETSRLPWLYSHGSDAEHQGALAMQWMAFALCIICLVFYAYHSWKATTGWEEVYVCVVELVKVLLEIYKEFESPASIYLPTANAALWLRYGEWLLTCPVILIHLSNITGLKDDYNKRTMQLLVSDIGCVVWGITAAFSVGWLKWVFFVLGLLYGSNTYFHAAKVYIESYHTVPKGHCRLIVRLMAYCFYVAWTMYPILFILGPEGLGHMSAYMSTALHGVADMLSKQIWGLLGHHLRVKIFEHILIHGDIRKTTTMQVGGQMVQVEEMVDEEDEDTI</t>
    <phoneticPr fontId="3"/>
  </si>
  <si>
    <t>MDRVRRLQTETCDSVDWSDAHNIAQIAQGTLFLILAIWLIFANNAKVAVGQKAPLEQRHAVCATLSTAVALFSGFFNIMQLTGIDDFDIPGYSGGFVLQLARPVEWVLTCPILQLKLVVLAGARVPSYRRFMMPLLSAAVLLCGVAATFTEGALRYVWFTFGSIFCFIFYHNALQIGENSEGEESLLRGDSDYRRLTLLLIITWFPFPIWFILSPEGFNLVDSELVIEMGWVALNLLAKFSMIILGQRMKMSHQKKMEAARELYGMAPGDAVSGEALDQKALAESSTKGGRRMMDPADYGLGVGEDAE</t>
    <phoneticPr fontId="3"/>
  </si>
  <si>
    <t>MATFNSTWTTYGAWEAANPECAEKMHRSSDAVHVVQLTWAIVSFLQSMFMLSRFPRNAWEAVFLPLAETCLYGLASTGNGYVTMANGRTLPWGRMASWLATCPIIMNQINAVATVNFHGISLNRIQVCASILTIVMGVTASVTDEPPMQWAFFGLGTLCLIVEYVITTIIISAGVAKFQPYVEESETCRKAIGRLYLVRNMIFSTWAAFPIVWLLSPQGACVFGEDVVPLLYLIADALCKNVYGLIWYNTTWVLLGDGVWDPTKHVAKQAPALQQEMTANTSVIMAPAVIQETPC</t>
    <phoneticPr fontId="3"/>
  </si>
  <si>
    <t>MSYNESVWREDFAQVLLARPKGSGVVSQGVAGARLCVFSCSIALLCFYAFQWKIGRCNLHPIYVQFVTFCVYILSCFGTTDFLYIPVVDHAGVTFDLAIGRYLFWMMTCPVIISNVNILLNIMTPDDIELPQVTFMMVKDIVMIAFGVLAAMQQNITLKWIFNLASYFVFWLVADLIVLMNEKKKFFMVYERCWEWIFAVMIYFFCAQSLFIFLYAVGPPCFNIMGPDGDRIGHSVGDLFAKNLFGFFAWYVRFVVLDPHVKRIRGARAAAA</t>
    <phoneticPr fontId="3"/>
  </si>
  <si>
    <t>MLGNGSAIVPIDQCFCLAWTDSLGSDTEQLVANILQWFAFGFDILILMFYAYQTWRATCGWEEVYVCCVELTKVIIEFFHEFDDPSMLYLANGHRVQWLRYAEWLLTCPVICIHLSNLTGLKDDYSKRTMRLLVSDVGCIVWGATSAMSTGYVKVIFFVLGCIYGANTFFHAAKVYIESYHVVPKGRPRTVVRIMAWLFFLSWGMFPVLFVVGPEGFDAISVYGSTIGHTIIDLMSKECWGLLGHYLRVLIHQHIIIYGDIRKKTKINVAGEEMEVETMVDQEDEETV</t>
  </si>
  <si>
    <t>recommeded to remove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</si>
</sst>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Noto Sans Regula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0" fillId="3" borderId="0" xfId="0" applyFill="1"/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/>
    <xf numFmtId="0" fontId="5" fillId="0" borderId="0" xfId="0" applyFont="1"/>
    <xf numFmtId="0" fontId="0" fillId="4" borderId="0" xfId="0" applyFill="1"/>
    <xf numFmtId="0" fontId="5" fillId="4" borderId="0" xfId="0" applyFont="1" applyFill="1"/>
    <xf numFmtId="0" fontId="1" fillId="4" borderId="0" xfId="0" applyFont="1" applyFill="1"/>
    <xf numFmtId="0" fontId="2" fillId="4" borderId="0" xfId="0" applyFont="1" applyFill="1"/>
    <xf numFmtId="0" fontId="5" fillId="0" borderId="0" xfId="0" applyFont="1" applyFill="1"/>
    <xf numFmtId="0" fontId="0" fillId="0" borderId="0" xfId="0" applyFill="1"/>
    <xf numFmtId="0" fontId="1" fillId="0" borderId="0" xfId="0" applyFont="1" applyFill="1"/>
    <xf numFmtId="0" fontId="4" fillId="0" borderId="0" xfId="0" applyFont="1" applyFill="1"/>
    <xf numFmtId="164" fontId="1" fillId="0" borderId="0" xfId="0" applyNumberFormat="1" applyFont="1" applyFill="1"/>
    <xf numFmtId="49" fontId="1" fillId="0" borderId="0" xfId="0" applyNumberFormat="1" applyFont="1" applyFill="1"/>
    <xf numFmtId="0" fontId="6" fillId="0" borderId="0" xfId="0" applyFont="1" applyFill="1" applyAlignment="1">
      <alignment horizontal="left" vertical="center"/>
    </xf>
  </cellXfs>
  <cellStyles count="2">
    <cellStyle name="Normal" xfId="0" builtinId="0"/>
    <cellStyle name="標準 2" xfId="1" xr:uid="{EC179BA5-25EF-416F-B998-520DE66BA0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bbabio.2011.07.005" TargetMode="External"/><Relationship Id="rId13" Type="http://schemas.openxmlformats.org/officeDocument/2006/relationships/hyperlink" Target="https://doi.org/10.1016/j.bbabio.2011.07.005" TargetMode="External"/><Relationship Id="rId18" Type="http://schemas.openxmlformats.org/officeDocument/2006/relationships/hyperlink" Target="https://doi.org/10.1016/j.bbabio.2011.07.005" TargetMode="External"/><Relationship Id="rId3" Type="http://schemas.openxmlformats.org/officeDocument/2006/relationships/hyperlink" Target="https://doi.org/10.1016/j.bbabio.2011.07.005" TargetMode="External"/><Relationship Id="rId21" Type="http://schemas.openxmlformats.org/officeDocument/2006/relationships/hyperlink" Target="https://doi.org/10.1016/j.bbabio.2011.07.005" TargetMode="External"/><Relationship Id="rId7" Type="http://schemas.openxmlformats.org/officeDocument/2006/relationships/hyperlink" Target="https://doi.org/10.1016/j.bbabio.2011.07.005" TargetMode="External"/><Relationship Id="rId12" Type="http://schemas.openxmlformats.org/officeDocument/2006/relationships/hyperlink" Target="https://doi.org/10.1016/j.bbabio.2011.07.005" TargetMode="External"/><Relationship Id="rId17" Type="http://schemas.openxmlformats.org/officeDocument/2006/relationships/hyperlink" Target="https://doi.org/10.1016/j.bbabio.2011.07.005" TargetMode="External"/><Relationship Id="rId2" Type="http://schemas.openxmlformats.org/officeDocument/2006/relationships/hyperlink" Target="https://doi.org/10.1016/j.bbabio.2011.07.005" TargetMode="External"/><Relationship Id="rId16" Type="http://schemas.openxmlformats.org/officeDocument/2006/relationships/hyperlink" Target="https://doi.org/10.1016/j.bbabio.2011.07.005" TargetMode="External"/><Relationship Id="rId20" Type="http://schemas.openxmlformats.org/officeDocument/2006/relationships/hyperlink" Target="https://doi.org/10.1016/j.bbabio.2011.07.005" TargetMode="External"/><Relationship Id="rId1" Type="http://schemas.openxmlformats.org/officeDocument/2006/relationships/hyperlink" Target="https://doi.org/10.1016/j.bbabio.2011.07.005" TargetMode="External"/><Relationship Id="rId6" Type="http://schemas.openxmlformats.org/officeDocument/2006/relationships/hyperlink" Target="https://doi.org/10.1016/j.bbabio.2011.07.005" TargetMode="External"/><Relationship Id="rId11" Type="http://schemas.openxmlformats.org/officeDocument/2006/relationships/hyperlink" Target="https://doi.org/10.1016/j.bbabio.2011.07.005" TargetMode="External"/><Relationship Id="rId24" Type="http://schemas.openxmlformats.org/officeDocument/2006/relationships/hyperlink" Target="https://doi.org/10.1016/j.bbabio.2011.07.005" TargetMode="External"/><Relationship Id="rId5" Type="http://schemas.openxmlformats.org/officeDocument/2006/relationships/hyperlink" Target="https://doi.org/10.1016/j.bbabio.2011.07.005" TargetMode="External"/><Relationship Id="rId15" Type="http://schemas.openxmlformats.org/officeDocument/2006/relationships/hyperlink" Target="https://doi.org/10.1016/j.bbabio.2011.07.005" TargetMode="External"/><Relationship Id="rId23" Type="http://schemas.openxmlformats.org/officeDocument/2006/relationships/hyperlink" Target="https://doi.org/10.1016/j.bbabio.2011.07.005" TargetMode="External"/><Relationship Id="rId10" Type="http://schemas.openxmlformats.org/officeDocument/2006/relationships/hyperlink" Target="https://doi.org/10.1016/j.bbabio.2011.07.005" TargetMode="External"/><Relationship Id="rId19" Type="http://schemas.openxmlformats.org/officeDocument/2006/relationships/hyperlink" Target="https://doi.org/10.1016/j.bbabio.2011.07.005" TargetMode="External"/><Relationship Id="rId4" Type="http://schemas.openxmlformats.org/officeDocument/2006/relationships/hyperlink" Target="https://doi.org/10.1016/j.bbabio.2011.07.005" TargetMode="External"/><Relationship Id="rId9" Type="http://schemas.openxmlformats.org/officeDocument/2006/relationships/hyperlink" Target="https://doi.org/10.1016/j.bbabio.2011.07.005" TargetMode="External"/><Relationship Id="rId14" Type="http://schemas.openxmlformats.org/officeDocument/2006/relationships/hyperlink" Target="https://doi.org/10.1016/j.bbabio.2011.07.005" TargetMode="External"/><Relationship Id="rId22" Type="http://schemas.openxmlformats.org/officeDocument/2006/relationships/hyperlink" Target="https://doi.org/10.1016/j.bbabio.2011.07.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8882-28BA-4469-8DE8-F4EE27791399}">
  <sheetPr>
    <outlinePr summaryBelow="0" summaryRight="0"/>
  </sheetPr>
  <dimension ref="A1:AB152"/>
  <sheetViews>
    <sheetView topLeftCell="A105" zoomScale="85" zoomScaleNormal="85" workbookViewId="0">
      <selection activeCell="A131" sqref="A1:XFD131"/>
    </sheetView>
  </sheetViews>
  <sheetFormatPr defaultColWidth="12.6328125" defaultRowHeight="15.75" customHeight="1"/>
  <cols>
    <col min="3" max="3" width="22.453125" bestFit="1" customWidth="1"/>
    <col min="4" max="4" width="22.36328125" customWidth="1"/>
    <col min="5" max="5" width="35.6328125" customWidth="1"/>
    <col min="6" max="6" width="24.08984375" customWidth="1"/>
    <col min="7" max="7" width="27" customWidth="1"/>
    <col min="8" max="8" width="38.08984375" bestFit="1" customWidth="1"/>
    <col min="12" max="12" width="35.453125" customWidth="1"/>
  </cols>
  <sheetData>
    <row r="1" spans="1:28" s="17" customFormat="1" ht="12" customHeight="1">
      <c r="A1" s="16" t="s">
        <v>1253</v>
      </c>
      <c r="B1" s="16" t="s">
        <v>1244</v>
      </c>
      <c r="C1" s="18" t="s">
        <v>10</v>
      </c>
      <c r="D1" s="18" t="s">
        <v>0</v>
      </c>
      <c r="E1" s="18" t="s">
        <v>1</v>
      </c>
      <c r="F1" s="18" t="s">
        <v>2</v>
      </c>
      <c r="G1" s="18" t="s">
        <v>1239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8" t="s">
        <v>9</v>
      </c>
      <c r="O1" s="18" t="s">
        <v>11</v>
      </c>
      <c r="P1" s="18" t="s">
        <v>12</v>
      </c>
      <c r="Q1" s="18" t="s">
        <v>13</v>
      </c>
      <c r="R1" s="18" t="s">
        <v>14</v>
      </c>
      <c r="S1" s="18" t="s">
        <v>15</v>
      </c>
      <c r="T1" s="18" t="s">
        <v>16</v>
      </c>
      <c r="U1" s="18" t="s">
        <v>17</v>
      </c>
      <c r="V1" s="18" t="s">
        <v>18</v>
      </c>
      <c r="W1" s="18" t="s">
        <v>19</v>
      </c>
      <c r="X1" s="18" t="s">
        <v>20</v>
      </c>
      <c r="Y1" s="18" t="s">
        <v>21</v>
      </c>
      <c r="Z1" s="18" t="s">
        <v>22</v>
      </c>
      <c r="AA1" s="18" t="s">
        <v>23</v>
      </c>
      <c r="AB1" s="18" t="s">
        <v>24</v>
      </c>
    </row>
    <row r="2" spans="1:28" s="17" customFormat="1" ht="12" customHeight="1">
      <c r="A2" s="17">
        <v>2</v>
      </c>
      <c r="B2" s="16" t="s">
        <v>1250</v>
      </c>
      <c r="C2" s="18" t="s">
        <v>40</v>
      </c>
      <c r="D2" s="18"/>
      <c r="E2" s="18" t="s">
        <v>41</v>
      </c>
      <c r="F2" s="18" t="s">
        <v>42</v>
      </c>
      <c r="G2" s="18" t="s">
        <v>1241</v>
      </c>
      <c r="H2" s="18" t="s">
        <v>640</v>
      </c>
      <c r="M2" s="18" t="s">
        <v>43</v>
      </c>
      <c r="N2" s="18" t="s">
        <v>44</v>
      </c>
      <c r="O2" s="18" t="s">
        <v>45</v>
      </c>
      <c r="P2" s="18" t="s">
        <v>46</v>
      </c>
      <c r="Q2" s="18" t="s">
        <v>47</v>
      </c>
      <c r="R2" s="18" t="s">
        <v>45</v>
      </c>
      <c r="U2" s="18" t="s">
        <v>39</v>
      </c>
      <c r="V2" s="18" t="s">
        <v>48</v>
      </c>
      <c r="W2" s="18" t="s">
        <v>49</v>
      </c>
      <c r="X2" s="18" t="b">
        <v>1</v>
      </c>
      <c r="Y2" s="18" t="s">
        <v>40</v>
      </c>
      <c r="Z2" s="18" t="s">
        <v>40</v>
      </c>
      <c r="AA2" s="18" t="s">
        <v>50</v>
      </c>
      <c r="AB2" s="18" t="s">
        <v>51</v>
      </c>
    </row>
    <row r="3" spans="1:28" s="17" customFormat="1" ht="12" customHeight="1">
      <c r="A3" s="17">
        <v>4</v>
      </c>
      <c r="B3" s="16" t="s">
        <v>1250</v>
      </c>
      <c r="C3" s="18" t="s">
        <v>62</v>
      </c>
      <c r="D3" s="18"/>
      <c r="E3" s="18" t="s">
        <v>63</v>
      </c>
      <c r="F3" s="18" t="s">
        <v>28</v>
      </c>
      <c r="G3" s="19" t="s">
        <v>1001</v>
      </c>
      <c r="H3" s="19" t="s">
        <v>1001</v>
      </c>
      <c r="M3" s="18" t="s">
        <v>64</v>
      </c>
      <c r="Q3" s="18" t="s">
        <v>65</v>
      </c>
      <c r="R3" s="18" t="s">
        <v>64</v>
      </c>
      <c r="U3" s="18" t="s">
        <v>61</v>
      </c>
      <c r="V3" s="18" t="s">
        <v>66</v>
      </c>
      <c r="W3" s="18" t="s">
        <v>67</v>
      </c>
      <c r="X3" s="18" t="b">
        <v>0</v>
      </c>
      <c r="Y3" s="18" t="s">
        <v>62</v>
      </c>
      <c r="Z3" s="18" t="s">
        <v>62</v>
      </c>
      <c r="AA3" s="18" t="s">
        <v>68</v>
      </c>
      <c r="AB3" s="18" t="s">
        <v>69</v>
      </c>
    </row>
    <row r="4" spans="1:28" s="17" customFormat="1" ht="12" customHeight="1">
      <c r="A4" s="17">
        <v>5</v>
      </c>
      <c r="B4" s="16" t="s">
        <v>1250</v>
      </c>
      <c r="C4" s="18" t="s">
        <v>1007</v>
      </c>
      <c r="D4" s="18"/>
      <c r="E4" s="18" t="s">
        <v>72</v>
      </c>
      <c r="F4" s="18" t="s">
        <v>28</v>
      </c>
      <c r="G4" s="18" t="s">
        <v>29</v>
      </c>
      <c r="H4" s="18" t="s">
        <v>29</v>
      </c>
      <c r="M4" s="18" t="s">
        <v>73</v>
      </c>
      <c r="N4" s="18" t="s">
        <v>1004</v>
      </c>
      <c r="O4" s="18" t="s">
        <v>74</v>
      </c>
      <c r="P4" s="18" t="s">
        <v>75</v>
      </c>
      <c r="Q4" s="18" t="s">
        <v>76</v>
      </c>
      <c r="R4" s="18" t="s">
        <v>74</v>
      </c>
      <c r="U4" s="18" t="s">
        <v>70</v>
      </c>
      <c r="V4" s="18" t="s">
        <v>77</v>
      </c>
      <c r="W4" s="18" t="s">
        <v>78</v>
      </c>
      <c r="X4" s="18" t="b">
        <v>1</v>
      </c>
      <c r="Y4" s="18" t="s">
        <v>71</v>
      </c>
      <c r="Z4" s="18" t="s">
        <v>71</v>
      </c>
      <c r="AA4" s="18" t="s">
        <v>37</v>
      </c>
      <c r="AB4" s="18" t="s">
        <v>79</v>
      </c>
    </row>
    <row r="5" spans="1:28" s="17" customFormat="1" ht="12" customHeight="1">
      <c r="A5" s="17">
        <v>6</v>
      </c>
      <c r="B5" s="16" t="s">
        <v>1250</v>
      </c>
      <c r="C5" s="18" t="s">
        <v>81</v>
      </c>
      <c r="D5" s="18"/>
      <c r="E5" s="18" t="s">
        <v>82</v>
      </c>
      <c r="F5" s="18" t="s">
        <v>42</v>
      </c>
      <c r="G5" s="18" t="s">
        <v>1247</v>
      </c>
      <c r="H5" s="19" t="s">
        <v>1000</v>
      </c>
      <c r="M5" s="18" t="s">
        <v>83</v>
      </c>
      <c r="Q5" s="18" t="s">
        <v>84</v>
      </c>
      <c r="R5" s="18" t="s">
        <v>83</v>
      </c>
      <c r="U5" s="18" t="s">
        <v>80</v>
      </c>
      <c r="V5" s="18" t="s">
        <v>85</v>
      </c>
      <c r="W5" s="18" t="s">
        <v>86</v>
      </c>
      <c r="X5" s="18" t="b">
        <v>0</v>
      </c>
      <c r="Y5" s="18" t="s">
        <v>81</v>
      </c>
      <c r="Z5" s="18" t="s">
        <v>81</v>
      </c>
      <c r="AA5" s="18" t="s">
        <v>87</v>
      </c>
      <c r="AB5" s="18" t="s">
        <v>88</v>
      </c>
    </row>
    <row r="6" spans="1:28" s="17" customFormat="1" ht="12" customHeight="1">
      <c r="A6" s="17">
        <v>9</v>
      </c>
      <c r="B6" s="16" t="s">
        <v>1250</v>
      </c>
      <c r="C6" s="18" t="s">
        <v>109</v>
      </c>
      <c r="D6" s="18"/>
      <c r="E6" s="18" t="s">
        <v>91</v>
      </c>
      <c r="F6" s="18" t="s">
        <v>92</v>
      </c>
      <c r="G6" s="18" t="s">
        <v>110</v>
      </c>
      <c r="H6" s="18" t="s">
        <v>110</v>
      </c>
      <c r="M6" s="18" t="s">
        <v>111</v>
      </c>
      <c r="Q6" s="18" t="s">
        <v>112</v>
      </c>
      <c r="R6" s="18" t="s">
        <v>111</v>
      </c>
      <c r="U6" s="18" t="s">
        <v>108</v>
      </c>
      <c r="V6" s="18" t="s">
        <v>113</v>
      </c>
      <c r="W6" s="18" t="s">
        <v>114</v>
      </c>
      <c r="X6" s="18" t="b">
        <v>0</v>
      </c>
      <c r="Y6" s="18" t="s">
        <v>109</v>
      </c>
      <c r="Z6" s="18" t="s">
        <v>109</v>
      </c>
      <c r="AA6" s="18" t="s">
        <v>68</v>
      </c>
      <c r="AB6" s="18" t="s">
        <v>115</v>
      </c>
    </row>
    <row r="7" spans="1:28" s="17" customFormat="1" ht="12" customHeight="1">
      <c r="A7" s="17">
        <v>10</v>
      </c>
      <c r="B7" s="16" t="s">
        <v>1250</v>
      </c>
      <c r="C7" s="18" t="s">
        <v>117</v>
      </c>
      <c r="D7" s="18"/>
      <c r="E7" s="18" t="s">
        <v>91</v>
      </c>
      <c r="F7" s="18" t="s">
        <v>92</v>
      </c>
      <c r="G7" s="18" t="s">
        <v>789</v>
      </c>
      <c r="H7" s="18" t="s">
        <v>789</v>
      </c>
      <c r="M7" s="18" t="s">
        <v>118</v>
      </c>
      <c r="Q7" s="18" t="s">
        <v>97</v>
      </c>
      <c r="R7" s="18" t="s">
        <v>118</v>
      </c>
      <c r="U7" s="18" t="s">
        <v>116</v>
      </c>
      <c r="V7" s="18" t="s">
        <v>119</v>
      </c>
      <c r="W7" s="18" t="s">
        <v>120</v>
      </c>
      <c r="X7" s="18" t="b">
        <v>0</v>
      </c>
      <c r="Y7" s="18" t="s">
        <v>117</v>
      </c>
      <c r="Z7" s="18" t="s">
        <v>117</v>
      </c>
      <c r="AA7" s="18" t="s">
        <v>121</v>
      </c>
      <c r="AB7" s="18" t="s">
        <v>122</v>
      </c>
    </row>
    <row r="8" spans="1:28" s="17" customFormat="1" ht="12" customHeight="1">
      <c r="A8" s="17">
        <v>11</v>
      </c>
      <c r="B8" s="16" t="s">
        <v>1250</v>
      </c>
      <c r="C8" s="18" t="s">
        <v>124</v>
      </c>
      <c r="D8" s="18"/>
      <c r="E8" s="18" t="s">
        <v>91</v>
      </c>
      <c r="F8" s="18" t="s">
        <v>92</v>
      </c>
      <c r="G8" s="18" t="s">
        <v>789</v>
      </c>
      <c r="H8" s="18" t="s">
        <v>789</v>
      </c>
      <c r="M8" s="18" t="s">
        <v>125</v>
      </c>
      <c r="Q8" s="18" t="s">
        <v>97</v>
      </c>
      <c r="R8" s="18" t="s">
        <v>125</v>
      </c>
      <c r="U8" s="18" t="s">
        <v>123</v>
      </c>
      <c r="V8" s="18" t="s">
        <v>126</v>
      </c>
      <c r="W8" s="18" t="s">
        <v>127</v>
      </c>
      <c r="X8" s="18" t="b">
        <v>0</v>
      </c>
      <c r="Y8" s="18" t="s">
        <v>124</v>
      </c>
      <c r="Z8" s="18" t="s">
        <v>124</v>
      </c>
      <c r="AA8" s="18" t="s">
        <v>121</v>
      </c>
      <c r="AB8" s="18" t="s">
        <v>128</v>
      </c>
    </row>
    <row r="9" spans="1:28" s="17" customFormat="1" ht="12" customHeight="1">
      <c r="A9" s="17">
        <v>12</v>
      </c>
      <c r="B9" s="16" t="s">
        <v>1250</v>
      </c>
      <c r="C9" s="18" t="s">
        <v>130</v>
      </c>
      <c r="D9" s="18"/>
      <c r="E9" s="19" t="s">
        <v>999</v>
      </c>
      <c r="F9" s="18" t="s">
        <v>92</v>
      </c>
      <c r="G9" s="18" t="s">
        <v>789</v>
      </c>
      <c r="H9" s="18" t="s">
        <v>789</v>
      </c>
      <c r="M9" s="18" t="s">
        <v>131</v>
      </c>
      <c r="Q9" s="18" t="s">
        <v>132</v>
      </c>
      <c r="R9" s="18" t="s">
        <v>131</v>
      </c>
      <c r="U9" s="18" t="s">
        <v>129</v>
      </c>
      <c r="V9" s="18" t="s">
        <v>133</v>
      </c>
      <c r="W9" s="18" t="s">
        <v>134</v>
      </c>
      <c r="X9" s="18" t="b">
        <v>0</v>
      </c>
      <c r="Y9" s="18" t="s">
        <v>130</v>
      </c>
      <c r="Z9" s="18" t="s">
        <v>130</v>
      </c>
      <c r="AA9" s="18" t="s">
        <v>121</v>
      </c>
      <c r="AB9" s="18" t="s">
        <v>135</v>
      </c>
    </row>
    <row r="10" spans="1:28" s="17" customFormat="1" ht="12" customHeight="1">
      <c r="A10" s="17">
        <v>13</v>
      </c>
      <c r="B10" s="16" t="s">
        <v>1250</v>
      </c>
      <c r="C10" s="18" t="s">
        <v>137</v>
      </c>
      <c r="D10" s="18"/>
      <c r="E10" s="18" t="s">
        <v>138</v>
      </c>
      <c r="F10" s="18" t="s">
        <v>92</v>
      </c>
      <c r="G10" s="18" t="s">
        <v>789</v>
      </c>
      <c r="H10" s="18" t="s">
        <v>789</v>
      </c>
      <c r="M10" s="18" t="s">
        <v>139</v>
      </c>
      <c r="Q10" s="18" t="s">
        <v>140</v>
      </c>
      <c r="R10" s="18" t="s">
        <v>139</v>
      </c>
      <c r="U10" s="18" t="s">
        <v>136</v>
      </c>
      <c r="V10" s="18" t="s">
        <v>141</v>
      </c>
      <c r="W10" s="18" t="s">
        <v>142</v>
      </c>
      <c r="X10" s="18" t="b">
        <v>0</v>
      </c>
      <c r="Y10" s="18" t="s">
        <v>137</v>
      </c>
      <c r="Z10" s="18" t="s">
        <v>137</v>
      </c>
      <c r="AA10" s="18" t="s">
        <v>121</v>
      </c>
      <c r="AB10" s="18" t="s">
        <v>143</v>
      </c>
    </row>
    <row r="11" spans="1:28" s="17" customFormat="1" ht="12" customHeight="1">
      <c r="A11" s="17">
        <v>15</v>
      </c>
      <c r="B11" s="16" t="s">
        <v>1250</v>
      </c>
      <c r="C11" s="18" t="s">
        <v>153</v>
      </c>
      <c r="D11" s="18"/>
      <c r="E11" s="18" t="s">
        <v>1016</v>
      </c>
      <c r="F11" s="18" t="s">
        <v>28</v>
      </c>
      <c r="G11" s="18" t="s">
        <v>29</v>
      </c>
      <c r="H11" s="18" t="s">
        <v>29</v>
      </c>
      <c r="M11" s="18" t="s">
        <v>154</v>
      </c>
      <c r="Q11" s="18" t="s">
        <v>155</v>
      </c>
      <c r="R11" s="18" t="s">
        <v>154</v>
      </c>
      <c r="U11" s="18" t="s">
        <v>152</v>
      </c>
      <c r="V11" s="18" t="s">
        <v>156</v>
      </c>
      <c r="W11" s="18" t="s">
        <v>157</v>
      </c>
      <c r="X11" s="18" t="b">
        <v>0</v>
      </c>
      <c r="Y11" s="18" t="s">
        <v>153</v>
      </c>
      <c r="Z11" s="18" t="s">
        <v>153</v>
      </c>
      <c r="AA11" s="18" t="s">
        <v>37</v>
      </c>
      <c r="AB11" s="18" t="s">
        <v>158</v>
      </c>
    </row>
    <row r="12" spans="1:28" s="17" customFormat="1" ht="12" customHeight="1">
      <c r="A12" s="17">
        <v>17</v>
      </c>
      <c r="B12" s="16" t="s">
        <v>1250</v>
      </c>
      <c r="C12" s="18" t="s">
        <v>170</v>
      </c>
      <c r="D12" s="18"/>
      <c r="E12" s="18" t="s">
        <v>1017</v>
      </c>
      <c r="F12" s="18" t="s">
        <v>42</v>
      </c>
      <c r="G12" s="18" t="s">
        <v>29</v>
      </c>
      <c r="H12" s="18" t="s">
        <v>29</v>
      </c>
      <c r="M12" s="18" t="s">
        <v>171</v>
      </c>
      <c r="Q12" s="18" t="s">
        <v>172</v>
      </c>
      <c r="R12" s="18" t="s">
        <v>171</v>
      </c>
      <c r="U12" s="18" t="s">
        <v>169</v>
      </c>
      <c r="V12" s="18" t="s">
        <v>173</v>
      </c>
      <c r="W12" s="18" t="s">
        <v>174</v>
      </c>
      <c r="X12" s="18" t="b">
        <v>0</v>
      </c>
      <c r="Y12" s="18" t="s">
        <v>170</v>
      </c>
      <c r="Z12" s="18" t="s">
        <v>170</v>
      </c>
      <c r="AA12" s="18" t="s">
        <v>37</v>
      </c>
      <c r="AB12" s="18" t="s">
        <v>175</v>
      </c>
    </row>
    <row r="13" spans="1:28" s="17" customFormat="1" ht="12" customHeight="1">
      <c r="A13" s="17">
        <v>18</v>
      </c>
      <c r="B13" s="16" t="s">
        <v>1250</v>
      </c>
      <c r="C13" s="18" t="s">
        <v>177</v>
      </c>
      <c r="D13" s="18"/>
      <c r="E13" s="18" t="s">
        <v>178</v>
      </c>
      <c r="F13" s="18" t="s">
        <v>28</v>
      </c>
      <c r="G13" s="18" t="s">
        <v>29</v>
      </c>
      <c r="H13" s="18" t="s">
        <v>29</v>
      </c>
      <c r="M13" s="18" t="s">
        <v>179</v>
      </c>
      <c r="Q13" s="18" t="s">
        <v>180</v>
      </c>
      <c r="R13" s="18" t="s">
        <v>179</v>
      </c>
      <c r="U13" s="18" t="s">
        <v>176</v>
      </c>
      <c r="V13" s="18" t="s">
        <v>181</v>
      </c>
      <c r="W13" s="18" t="s">
        <v>182</v>
      </c>
      <c r="X13" s="18" t="b">
        <v>0</v>
      </c>
      <c r="Y13" s="18" t="s">
        <v>177</v>
      </c>
      <c r="Z13" s="18" t="s">
        <v>177</v>
      </c>
      <c r="AA13" s="18" t="s">
        <v>37</v>
      </c>
      <c r="AB13" s="18" t="s">
        <v>183</v>
      </c>
    </row>
    <row r="14" spans="1:28" s="17" customFormat="1" ht="12" customHeight="1">
      <c r="A14" s="17">
        <v>19</v>
      </c>
      <c r="B14" s="16" t="s">
        <v>1250</v>
      </c>
      <c r="C14" s="18" t="s">
        <v>185</v>
      </c>
      <c r="D14" s="18"/>
      <c r="E14" s="18" t="s">
        <v>178</v>
      </c>
      <c r="F14" s="18" t="s">
        <v>28</v>
      </c>
      <c r="G14" s="18" t="s">
        <v>1008</v>
      </c>
      <c r="H14" s="18" t="s">
        <v>1008</v>
      </c>
      <c r="L14" s="16" t="s">
        <v>1011</v>
      </c>
      <c r="M14" s="18" t="s">
        <v>187</v>
      </c>
      <c r="Q14" s="18" t="s">
        <v>188</v>
      </c>
      <c r="R14" s="18" t="s">
        <v>187</v>
      </c>
      <c r="U14" s="18" t="s">
        <v>184</v>
      </c>
      <c r="V14" s="18" t="s">
        <v>189</v>
      </c>
      <c r="W14" s="18" t="s">
        <v>190</v>
      </c>
      <c r="X14" s="18" t="b">
        <v>0</v>
      </c>
      <c r="Y14" s="18" t="s">
        <v>185</v>
      </c>
      <c r="Z14" s="18" t="s">
        <v>185</v>
      </c>
      <c r="AA14" s="18" t="s">
        <v>37</v>
      </c>
      <c r="AB14" s="18" t="s">
        <v>191</v>
      </c>
    </row>
    <row r="15" spans="1:28" s="17" customFormat="1" ht="12" customHeight="1">
      <c r="A15" s="17">
        <v>20</v>
      </c>
      <c r="B15" s="16" t="s">
        <v>1250</v>
      </c>
      <c r="C15" s="18" t="s">
        <v>193</v>
      </c>
      <c r="D15" s="18" t="s">
        <v>1009</v>
      </c>
      <c r="E15" s="18" t="s">
        <v>194</v>
      </c>
      <c r="F15" s="18" t="s">
        <v>28</v>
      </c>
      <c r="G15" s="18" t="s">
        <v>585</v>
      </c>
      <c r="H15" s="18" t="s">
        <v>585</v>
      </c>
      <c r="L15" s="16" t="s">
        <v>1012</v>
      </c>
      <c r="M15" s="18" t="s">
        <v>195</v>
      </c>
      <c r="Q15" s="18" t="s">
        <v>188</v>
      </c>
      <c r="R15" s="18" t="s">
        <v>195</v>
      </c>
      <c r="U15" s="18" t="s">
        <v>192</v>
      </c>
      <c r="V15" s="18" t="s">
        <v>196</v>
      </c>
      <c r="W15" s="18" t="s">
        <v>197</v>
      </c>
      <c r="X15" s="18" t="b">
        <v>0</v>
      </c>
      <c r="Y15" s="18" t="s">
        <v>193</v>
      </c>
      <c r="Z15" s="18" t="s">
        <v>193</v>
      </c>
      <c r="AA15" s="18" t="s">
        <v>198</v>
      </c>
      <c r="AB15" s="18" t="s">
        <v>199</v>
      </c>
    </row>
    <row r="16" spans="1:28" s="17" customFormat="1" ht="12" customHeight="1">
      <c r="A16" s="17">
        <v>21</v>
      </c>
      <c r="B16" s="16" t="s">
        <v>1250</v>
      </c>
      <c r="C16" s="18" t="s">
        <v>201</v>
      </c>
      <c r="D16" s="18" t="s">
        <v>1010</v>
      </c>
      <c r="E16" s="18" t="s">
        <v>194</v>
      </c>
      <c r="F16" s="18" t="s">
        <v>28</v>
      </c>
      <c r="G16" s="18" t="s">
        <v>29</v>
      </c>
      <c r="H16" s="18" t="s">
        <v>29</v>
      </c>
      <c r="L16" s="16" t="s">
        <v>1012</v>
      </c>
      <c r="M16" s="18" t="s">
        <v>154</v>
      </c>
      <c r="Q16" s="18" t="s">
        <v>155</v>
      </c>
      <c r="R16" s="18" t="s">
        <v>154</v>
      </c>
      <c r="U16" s="18" t="s">
        <v>200</v>
      </c>
      <c r="V16" s="18" t="s">
        <v>202</v>
      </c>
      <c r="W16" s="18" t="s">
        <v>203</v>
      </c>
      <c r="X16" s="18" t="b">
        <v>0</v>
      </c>
      <c r="Y16" s="18" t="s">
        <v>201</v>
      </c>
      <c r="Z16" s="18" t="s">
        <v>201</v>
      </c>
      <c r="AA16" s="18" t="s">
        <v>37</v>
      </c>
      <c r="AB16" s="18" t="s">
        <v>204</v>
      </c>
    </row>
    <row r="17" spans="1:28" s="17" customFormat="1" ht="12" customHeight="1">
      <c r="A17" s="17">
        <v>25</v>
      </c>
      <c r="B17" s="16" t="s">
        <v>1250</v>
      </c>
      <c r="C17" s="18" t="s">
        <v>229</v>
      </c>
      <c r="D17" s="18"/>
      <c r="E17" s="18" t="s">
        <v>230</v>
      </c>
      <c r="F17" s="18" t="s">
        <v>28</v>
      </c>
      <c r="G17" s="18" t="s">
        <v>789</v>
      </c>
      <c r="H17" s="18" t="s">
        <v>789</v>
      </c>
      <c r="M17" s="18" t="s">
        <v>231</v>
      </c>
      <c r="Q17" s="18" t="s">
        <v>140</v>
      </c>
      <c r="R17" s="18" t="s">
        <v>231</v>
      </c>
      <c r="U17" s="18" t="s">
        <v>228</v>
      </c>
      <c r="V17" s="18" t="s">
        <v>232</v>
      </c>
      <c r="W17" s="18" t="s">
        <v>233</v>
      </c>
      <c r="X17" s="18" t="b">
        <v>0</v>
      </c>
      <c r="Y17" s="18" t="s">
        <v>229</v>
      </c>
      <c r="Z17" s="18" t="s">
        <v>229</v>
      </c>
      <c r="AA17" s="18" t="s">
        <v>121</v>
      </c>
      <c r="AB17" s="18" t="s">
        <v>234</v>
      </c>
    </row>
    <row r="18" spans="1:28" s="17" customFormat="1" ht="12" customHeight="1">
      <c r="A18" s="17">
        <v>26</v>
      </c>
      <c r="B18" s="16" t="s">
        <v>1250</v>
      </c>
      <c r="C18" s="18" t="s">
        <v>236</v>
      </c>
      <c r="D18" s="18" t="s">
        <v>1182</v>
      </c>
      <c r="E18" s="18" t="s">
        <v>237</v>
      </c>
      <c r="F18" s="18" t="s">
        <v>42</v>
      </c>
      <c r="G18" s="18" t="s">
        <v>1241</v>
      </c>
      <c r="H18" s="18" t="s">
        <v>640</v>
      </c>
      <c r="M18" s="18" t="s">
        <v>238</v>
      </c>
      <c r="Q18" s="18" t="s">
        <v>239</v>
      </c>
      <c r="R18" s="18" t="s">
        <v>238</v>
      </c>
      <c r="S18" s="18" t="s">
        <v>209</v>
      </c>
      <c r="T18" s="18" t="s">
        <v>240</v>
      </c>
      <c r="U18" s="18" t="s">
        <v>235</v>
      </c>
      <c r="V18" s="18" t="s">
        <v>241</v>
      </c>
      <c r="W18" s="18" t="s">
        <v>242</v>
      </c>
      <c r="X18" s="18" t="b">
        <v>0</v>
      </c>
      <c r="Y18" s="18" t="s">
        <v>236</v>
      </c>
      <c r="Z18" s="18" t="s">
        <v>236</v>
      </c>
      <c r="AA18" s="18" t="s">
        <v>50</v>
      </c>
      <c r="AB18" s="18" t="s">
        <v>243</v>
      </c>
    </row>
    <row r="19" spans="1:28" s="17" customFormat="1" ht="12" customHeight="1">
      <c r="A19" s="17">
        <v>27</v>
      </c>
      <c r="B19" s="16" t="s">
        <v>1250</v>
      </c>
      <c r="C19" s="18" t="s">
        <v>245</v>
      </c>
      <c r="D19" s="18" t="s">
        <v>1181</v>
      </c>
      <c r="E19" s="18" t="s">
        <v>237</v>
      </c>
      <c r="F19" s="18" t="s">
        <v>42</v>
      </c>
      <c r="G19" s="18" t="s">
        <v>1241</v>
      </c>
      <c r="H19" s="18" t="s">
        <v>640</v>
      </c>
      <c r="M19" s="18" t="s">
        <v>246</v>
      </c>
      <c r="Q19" s="18" t="s">
        <v>247</v>
      </c>
      <c r="R19" s="18" t="s">
        <v>246</v>
      </c>
      <c r="S19" s="18" t="s">
        <v>209</v>
      </c>
      <c r="T19" s="18" t="s">
        <v>240</v>
      </c>
      <c r="U19" s="18" t="s">
        <v>244</v>
      </c>
      <c r="V19" s="18" t="s">
        <v>248</v>
      </c>
      <c r="W19" s="18" t="s">
        <v>249</v>
      </c>
      <c r="X19" s="18" t="b">
        <v>0</v>
      </c>
      <c r="Y19" s="18" t="s">
        <v>245</v>
      </c>
      <c r="Z19" s="18" t="s">
        <v>245</v>
      </c>
      <c r="AA19" s="18" t="s">
        <v>50</v>
      </c>
      <c r="AB19" s="18" t="s">
        <v>250</v>
      </c>
    </row>
    <row r="20" spans="1:28" s="17" customFormat="1" ht="12" customHeight="1">
      <c r="A20" s="17">
        <v>28</v>
      </c>
      <c r="B20" s="16" t="s">
        <v>1250</v>
      </c>
      <c r="C20" s="18" t="s">
        <v>252</v>
      </c>
      <c r="D20" s="18"/>
      <c r="E20" s="18" t="s">
        <v>253</v>
      </c>
      <c r="F20" s="18" t="s">
        <v>42</v>
      </c>
      <c r="G20" s="18" t="s">
        <v>1247</v>
      </c>
      <c r="H20" s="19" t="s">
        <v>1000</v>
      </c>
      <c r="M20" s="18" t="s">
        <v>254</v>
      </c>
      <c r="Q20" s="18" t="s">
        <v>255</v>
      </c>
      <c r="R20" s="18" t="s">
        <v>254</v>
      </c>
      <c r="U20" s="18" t="s">
        <v>251</v>
      </c>
      <c r="V20" s="18" t="s">
        <v>256</v>
      </c>
      <c r="W20" s="18" t="s">
        <v>257</v>
      </c>
      <c r="X20" s="18" t="b">
        <v>0</v>
      </c>
      <c r="Y20" s="18" t="s">
        <v>252</v>
      </c>
      <c r="Z20" s="18" t="s">
        <v>252</v>
      </c>
      <c r="AA20" s="18" t="s">
        <v>87</v>
      </c>
      <c r="AB20" s="18" t="s">
        <v>258</v>
      </c>
    </row>
    <row r="21" spans="1:28" s="17" customFormat="1" ht="12" customHeight="1">
      <c r="A21" s="17">
        <v>29</v>
      </c>
      <c r="B21" s="16" t="s">
        <v>1250</v>
      </c>
      <c r="C21" s="18" t="s">
        <v>260</v>
      </c>
      <c r="D21" s="18"/>
      <c r="E21" s="18" t="s">
        <v>261</v>
      </c>
      <c r="F21" s="18" t="s">
        <v>42</v>
      </c>
      <c r="G21" s="19" t="s">
        <v>1002</v>
      </c>
      <c r="H21" s="19" t="s">
        <v>1002</v>
      </c>
      <c r="M21" s="18" t="s">
        <v>262</v>
      </c>
      <c r="Q21" s="18" t="s">
        <v>263</v>
      </c>
      <c r="R21" s="18" t="s">
        <v>262</v>
      </c>
      <c r="S21" s="18" t="s">
        <v>264</v>
      </c>
      <c r="T21" s="18" t="s">
        <v>265</v>
      </c>
      <c r="U21" s="18" t="s">
        <v>259</v>
      </c>
      <c r="V21" s="18" t="s">
        <v>259</v>
      </c>
      <c r="W21" s="18" t="s">
        <v>266</v>
      </c>
      <c r="X21" s="18" t="b">
        <v>0</v>
      </c>
      <c r="Y21" s="18" t="s">
        <v>260</v>
      </c>
      <c r="Z21" s="18" t="s">
        <v>260</v>
      </c>
      <c r="AA21" s="18" t="s">
        <v>267</v>
      </c>
      <c r="AB21" s="18" t="s">
        <v>268</v>
      </c>
    </row>
    <row r="22" spans="1:28" s="17" customFormat="1" ht="12" customHeight="1">
      <c r="A22" s="17">
        <v>30</v>
      </c>
      <c r="B22" s="16" t="s">
        <v>1250</v>
      </c>
      <c r="C22" s="18" t="s">
        <v>273</v>
      </c>
      <c r="D22" s="18" t="s">
        <v>269</v>
      </c>
      <c r="E22" s="18" t="s">
        <v>138</v>
      </c>
      <c r="F22" s="18" t="s">
        <v>92</v>
      </c>
      <c r="G22" s="18" t="s">
        <v>29</v>
      </c>
      <c r="H22" s="18" t="s">
        <v>29</v>
      </c>
      <c r="I22" s="18" t="s">
        <v>270</v>
      </c>
      <c r="J22" s="18" t="s">
        <v>271</v>
      </c>
      <c r="K22" s="20">
        <v>45809</v>
      </c>
      <c r="L22" s="18" t="s">
        <v>272</v>
      </c>
      <c r="N22" s="18" t="s">
        <v>270</v>
      </c>
      <c r="O22" s="18" t="s">
        <v>274</v>
      </c>
      <c r="P22" s="18" t="s">
        <v>275</v>
      </c>
      <c r="Q22" s="18" t="s">
        <v>276</v>
      </c>
      <c r="R22" s="18" t="s">
        <v>274</v>
      </c>
      <c r="U22" s="18" t="s">
        <v>273</v>
      </c>
      <c r="V22" s="18" t="s">
        <v>273</v>
      </c>
      <c r="W22" s="18" t="s">
        <v>277</v>
      </c>
      <c r="X22" s="18" t="b">
        <v>1</v>
      </c>
      <c r="Y22" s="18" t="s">
        <v>273</v>
      </c>
      <c r="Z22" s="18" t="s">
        <v>273</v>
      </c>
      <c r="AA22" s="18" t="s">
        <v>37</v>
      </c>
      <c r="AB22" s="18" t="s">
        <v>278</v>
      </c>
    </row>
    <row r="23" spans="1:28" s="17" customFormat="1" ht="12" customHeight="1">
      <c r="A23" s="17">
        <v>31</v>
      </c>
      <c r="B23" s="16" t="s">
        <v>1250</v>
      </c>
      <c r="C23" s="18" t="s">
        <v>283</v>
      </c>
      <c r="D23" s="18" t="s">
        <v>279</v>
      </c>
      <c r="E23" s="18" t="s">
        <v>280</v>
      </c>
      <c r="F23" s="18" t="s">
        <v>92</v>
      </c>
      <c r="G23" s="18" t="s">
        <v>29</v>
      </c>
      <c r="H23" s="18" t="s">
        <v>29</v>
      </c>
      <c r="I23" s="18" t="s">
        <v>281</v>
      </c>
      <c r="J23" s="18" t="s">
        <v>271</v>
      </c>
      <c r="K23" s="20">
        <v>45750</v>
      </c>
      <c r="L23" s="18" t="s">
        <v>282</v>
      </c>
      <c r="N23" s="18" t="s">
        <v>281</v>
      </c>
      <c r="O23" s="18" t="s">
        <v>284</v>
      </c>
      <c r="P23" s="18" t="s">
        <v>285</v>
      </c>
      <c r="Q23" s="18" t="s">
        <v>97</v>
      </c>
      <c r="R23" s="18" t="s">
        <v>284</v>
      </c>
      <c r="U23" s="18" t="s">
        <v>283</v>
      </c>
      <c r="V23" s="18" t="s">
        <v>286</v>
      </c>
      <c r="W23" s="18" t="s">
        <v>287</v>
      </c>
      <c r="X23" s="18" t="b">
        <v>1</v>
      </c>
      <c r="Y23" s="18" t="s">
        <v>279</v>
      </c>
      <c r="Z23" s="18" t="s">
        <v>279</v>
      </c>
      <c r="AA23" s="18" t="s">
        <v>37</v>
      </c>
      <c r="AB23" s="18" t="s">
        <v>288</v>
      </c>
    </row>
    <row r="24" spans="1:28" s="17" customFormat="1" ht="12" customHeight="1">
      <c r="A24" s="17">
        <v>32</v>
      </c>
      <c r="B24" s="16" t="s">
        <v>1250</v>
      </c>
      <c r="C24" s="18" t="s">
        <v>293</v>
      </c>
      <c r="D24" s="18" t="s">
        <v>289</v>
      </c>
      <c r="E24" s="18" t="s">
        <v>290</v>
      </c>
      <c r="F24" s="18" t="s">
        <v>92</v>
      </c>
      <c r="G24" s="18" t="s">
        <v>29</v>
      </c>
      <c r="H24" s="18" t="s">
        <v>29</v>
      </c>
      <c r="I24" s="18" t="s">
        <v>291</v>
      </c>
      <c r="J24" s="18" t="s">
        <v>271</v>
      </c>
      <c r="K24" s="20">
        <v>45779</v>
      </c>
      <c r="L24" s="18" t="s">
        <v>292</v>
      </c>
      <c r="N24" s="18" t="s">
        <v>291</v>
      </c>
      <c r="O24" s="18" t="s">
        <v>294</v>
      </c>
      <c r="P24" s="18" t="s">
        <v>295</v>
      </c>
      <c r="Q24" s="18" t="s">
        <v>76</v>
      </c>
      <c r="R24" s="18" t="s">
        <v>294</v>
      </c>
      <c r="U24" s="18" t="s">
        <v>293</v>
      </c>
      <c r="V24" s="18" t="s">
        <v>296</v>
      </c>
      <c r="W24" s="18" t="s">
        <v>297</v>
      </c>
      <c r="X24" s="18" t="b">
        <v>1</v>
      </c>
      <c r="Y24" s="18" t="s">
        <v>289</v>
      </c>
      <c r="Z24" s="18" t="s">
        <v>289</v>
      </c>
      <c r="AA24" s="18" t="s">
        <v>37</v>
      </c>
      <c r="AB24" s="18" t="s">
        <v>298</v>
      </c>
    </row>
    <row r="25" spans="1:28" s="17" customFormat="1" ht="12" customHeight="1">
      <c r="A25" s="17">
        <v>33</v>
      </c>
      <c r="B25" s="16" t="s">
        <v>1250</v>
      </c>
      <c r="C25" s="18" t="s">
        <v>303</v>
      </c>
      <c r="D25" s="18" t="s">
        <v>299</v>
      </c>
      <c r="E25" s="18" t="s">
        <v>300</v>
      </c>
      <c r="F25" s="18" t="s">
        <v>92</v>
      </c>
      <c r="G25" s="18" t="s">
        <v>29</v>
      </c>
      <c r="H25" s="18" t="s">
        <v>29</v>
      </c>
      <c r="I25" s="18" t="s">
        <v>301</v>
      </c>
      <c r="J25" s="18" t="s">
        <v>271</v>
      </c>
      <c r="K25" s="20">
        <v>45717</v>
      </c>
      <c r="L25" s="18" t="s">
        <v>302</v>
      </c>
      <c r="N25" s="18" t="s">
        <v>301</v>
      </c>
      <c r="O25" s="18" t="s">
        <v>304</v>
      </c>
      <c r="P25" s="18" t="s">
        <v>305</v>
      </c>
      <c r="Q25" s="18" t="s">
        <v>306</v>
      </c>
      <c r="R25" s="18" t="s">
        <v>304</v>
      </c>
      <c r="U25" s="18" t="s">
        <v>303</v>
      </c>
      <c r="V25" s="18" t="s">
        <v>307</v>
      </c>
      <c r="W25" s="18" t="s">
        <v>308</v>
      </c>
      <c r="X25" s="18" t="b">
        <v>1</v>
      </c>
      <c r="Y25" s="18" t="s">
        <v>299</v>
      </c>
      <c r="Z25" s="18" t="s">
        <v>309</v>
      </c>
      <c r="AA25" s="18" t="s">
        <v>37</v>
      </c>
      <c r="AB25" s="18" t="s">
        <v>310</v>
      </c>
    </row>
    <row r="26" spans="1:28" s="17" customFormat="1" ht="12" customHeight="1">
      <c r="A26" s="17">
        <v>34</v>
      </c>
      <c r="B26" s="16" t="s">
        <v>1250</v>
      </c>
      <c r="C26" s="18" t="s">
        <v>315</v>
      </c>
      <c r="D26" s="18" t="s">
        <v>311</v>
      </c>
      <c r="E26" s="18" t="s">
        <v>312</v>
      </c>
      <c r="F26" s="18" t="s">
        <v>92</v>
      </c>
      <c r="G26" s="18" t="s">
        <v>29</v>
      </c>
      <c r="H26" s="18" t="s">
        <v>29</v>
      </c>
      <c r="I26" s="18" t="s">
        <v>313</v>
      </c>
      <c r="J26" s="18" t="s">
        <v>271</v>
      </c>
      <c r="K26" s="20">
        <v>45840</v>
      </c>
      <c r="L26" s="18" t="s">
        <v>314</v>
      </c>
      <c r="N26" s="18" t="s">
        <v>313</v>
      </c>
      <c r="O26" s="18" t="s">
        <v>316</v>
      </c>
      <c r="P26" s="18" t="s">
        <v>317</v>
      </c>
      <c r="Q26" s="18" t="s">
        <v>318</v>
      </c>
      <c r="R26" s="18" t="s">
        <v>316</v>
      </c>
      <c r="U26" s="18" t="s">
        <v>315</v>
      </c>
      <c r="V26" s="18" t="s">
        <v>319</v>
      </c>
      <c r="W26" s="18" t="s">
        <v>320</v>
      </c>
      <c r="X26" s="18" t="b">
        <v>1</v>
      </c>
      <c r="Y26" s="18" t="s">
        <v>311</v>
      </c>
      <c r="Z26" s="18" t="s">
        <v>311</v>
      </c>
      <c r="AA26" s="18" t="s">
        <v>37</v>
      </c>
      <c r="AB26" s="18" t="s">
        <v>321</v>
      </c>
    </row>
    <row r="27" spans="1:28" s="17" customFormat="1" ht="12" customHeight="1">
      <c r="A27" s="17">
        <v>35</v>
      </c>
      <c r="B27" s="16" t="s">
        <v>1250</v>
      </c>
      <c r="C27" s="18" t="s">
        <v>326</v>
      </c>
      <c r="D27" s="18" t="s">
        <v>322</v>
      </c>
      <c r="E27" s="18" t="s">
        <v>323</v>
      </c>
      <c r="F27" s="18" t="s">
        <v>92</v>
      </c>
      <c r="G27" s="18" t="s">
        <v>29</v>
      </c>
      <c r="H27" s="18" t="s">
        <v>29</v>
      </c>
      <c r="I27" s="18" t="s">
        <v>324</v>
      </c>
      <c r="J27" s="18" t="s">
        <v>271</v>
      </c>
      <c r="K27" s="20">
        <v>45718</v>
      </c>
      <c r="L27" s="18" t="s">
        <v>325</v>
      </c>
      <c r="N27" s="18" t="s">
        <v>324</v>
      </c>
      <c r="O27" s="18" t="s">
        <v>327</v>
      </c>
      <c r="P27" s="18" t="s">
        <v>328</v>
      </c>
      <c r="Q27" s="18" t="s">
        <v>329</v>
      </c>
      <c r="R27" s="18" t="s">
        <v>327</v>
      </c>
      <c r="U27" s="18" t="s">
        <v>326</v>
      </c>
      <c r="V27" s="18" t="s">
        <v>330</v>
      </c>
      <c r="W27" s="18" t="s">
        <v>331</v>
      </c>
      <c r="X27" s="18" t="b">
        <v>1</v>
      </c>
      <c r="Y27" s="18" t="s">
        <v>322</v>
      </c>
      <c r="Z27" s="18" t="s">
        <v>332</v>
      </c>
      <c r="AA27" s="18" t="s">
        <v>37</v>
      </c>
      <c r="AB27" s="18" t="s">
        <v>333</v>
      </c>
    </row>
    <row r="28" spans="1:28" s="17" customFormat="1" ht="12" customHeight="1">
      <c r="A28" s="17">
        <v>36</v>
      </c>
      <c r="B28" s="16" t="s">
        <v>1250</v>
      </c>
      <c r="C28" s="18" t="s">
        <v>337</v>
      </c>
      <c r="D28" s="18" t="s">
        <v>334</v>
      </c>
      <c r="E28" s="18" t="s">
        <v>335</v>
      </c>
      <c r="F28" s="18" t="s">
        <v>92</v>
      </c>
      <c r="G28" s="18" t="s">
        <v>29</v>
      </c>
      <c r="H28" s="18" t="s">
        <v>29</v>
      </c>
      <c r="I28" s="18" t="s">
        <v>94</v>
      </c>
      <c r="J28" s="18" t="s">
        <v>271</v>
      </c>
      <c r="K28" s="20">
        <v>45779</v>
      </c>
      <c r="L28" s="18" t="s">
        <v>336</v>
      </c>
      <c r="N28" s="18" t="s">
        <v>94</v>
      </c>
      <c r="O28" s="18" t="s">
        <v>95</v>
      </c>
      <c r="P28" s="18" t="s">
        <v>96</v>
      </c>
      <c r="Q28" s="18" t="s">
        <v>97</v>
      </c>
      <c r="R28" s="18" t="s">
        <v>95</v>
      </c>
      <c r="U28" s="18" t="s">
        <v>337</v>
      </c>
      <c r="V28" s="18" t="s">
        <v>338</v>
      </c>
      <c r="W28" s="18" t="s">
        <v>339</v>
      </c>
      <c r="X28" s="18" t="b">
        <v>1</v>
      </c>
      <c r="Y28" s="18" t="s">
        <v>90</v>
      </c>
      <c r="Z28" s="18" t="s">
        <v>337</v>
      </c>
      <c r="AA28" s="18" t="s">
        <v>37</v>
      </c>
      <c r="AB28" s="18" t="s">
        <v>340</v>
      </c>
    </row>
    <row r="29" spans="1:28" s="17" customFormat="1" ht="12" customHeight="1">
      <c r="A29" s="17">
        <v>37</v>
      </c>
      <c r="B29" s="16" t="s">
        <v>1250</v>
      </c>
      <c r="C29" s="18" t="s">
        <v>345</v>
      </c>
      <c r="E29" s="18" t="s">
        <v>341</v>
      </c>
      <c r="F29" s="18" t="s">
        <v>92</v>
      </c>
      <c r="G29" s="18" t="s">
        <v>29</v>
      </c>
      <c r="H29" s="18" t="s">
        <v>29</v>
      </c>
      <c r="I29" s="18" t="s">
        <v>342</v>
      </c>
      <c r="J29" s="18" t="s">
        <v>271</v>
      </c>
      <c r="K29" s="20">
        <v>45659</v>
      </c>
      <c r="L29" s="18" t="s">
        <v>343</v>
      </c>
      <c r="N29" s="18" t="s">
        <v>344</v>
      </c>
      <c r="O29" s="18" t="s">
        <v>346</v>
      </c>
      <c r="P29" s="18" t="s">
        <v>347</v>
      </c>
      <c r="Q29" s="18" t="s">
        <v>348</v>
      </c>
      <c r="R29" s="18" t="s">
        <v>346</v>
      </c>
      <c r="U29" s="18" t="s">
        <v>345</v>
      </c>
      <c r="V29" s="18" t="s">
        <v>345</v>
      </c>
      <c r="W29" s="18" t="s">
        <v>349</v>
      </c>
      <c r="X29" s="18" t="b">
        <v>1</v>
      </c>
      <c r="Y29" s="18" t="s">
        <v>345</v>
      </c>
      <c r="Z29" s="18" t="s">
        <v>345</v>
      </c>
      <c r="AA29" s="18" t="s">
        <v>37</v>
      </c>
      <c r="AB29" s="18" t="s">
        <v>350</v>
      </c>
    </row>
    <row r="30" spans="1:28" s="17" customFormat="1" ht="12" customHeight="1">
      <c r="A30" s="17">
        <v>38</v>
      </c>
      <c r="B30" s="16" t="s">
        <v>1250</v>
      </c>
      <c r="C30" s="18" t="s">
        <v>356</v>
      </c>
      <c r="D30" s="18" t="s">
        <v>351</v>
      </c>
      <c r="E30" s="18" t="s">
        <v>352</v>
      </c>
      <c r="F30" s="18" t="s">
        <v>28</v>
      </c>
      <c r="G30" s="18" t="s">
        <v>29</v>
      </c>
      <c r="H30" s="18" t="s">
        <v>29</v>
      </c>
      <c r="I30" s="18" t="s">
        <v>353</v>
      </c>
      <c r="J30" s="18" t="s">
        <v>271</v>
      </c>
      <c r="K30" s="18" t="s">
        <v>354</v>
      </c>
      <c r="L30" s="18" t="s">
        <v>355</v>
      </c>
      <c r="N30" s="18" t="s">
        <v>353</v>
      </c>
      <c r="O30" s="18" t="s">
        <v>357</v>
      </c>
      <c r="P30" s="18" t="s">
        <v>358</v>
      </c>
      <c r="Q30" s="18" t="s">
        <v>359</v>
      </c>
      <c r="R30" s="18" t="s">
        <v>357</v>
      </c>
      <c r="U30" s="18" t="s">
        <v>356</v>
      </c>
      <c r="V30" s="18" t="s">
        <v>356</v>
      </c>
      <c r="W30" s="18" t="s">
        <v>360</v>
      </c>
      <c r="X30" s="18" t="b">
        <v>1</v>
      </c>
      <c r="Y30" s="18" t="s">
        <v>356</v>
      </c>
      <c r="Z30" s="18" t="s">
        <v>356</v>
      </c>
      <c r="AA30" s="18" t="s">
        <v>37</v>
      </c>
      <c r="AB30" s="18" t="s">
        <v>361</v>
      </c>
    </row>
    <row r="31" spans="1:28" s="17" customFormat="1" ht="12" customHeight="1">
      <c r="A31" s="17">
        <v>39</v>
      </c>
      <c r="B31" s="16" t="s">
        <v>1250</v>
      </c>
      <c r="C31" s="18" t="s">
        <v>366</v>
      </c>
      <c r="D31" s="18" t="s">
        <v>362</v>
      </c>
      <c r="E31" s="18" t="s">
        <v>363</v>
      </c>
      <c r="F31" s="18" t="s">
        <v>28</v>
      </c>
      <c r="G31" s="18" t="s">
        <v>29</v>
      </c>
      <c r="H31" s="18" t="s">
        <v>29</v>
      </c>
      <c r="I31" s="18" t="s">
        <v>364</v>
      </c>
      <c r="J31" s="18" t="s">
        <v>271</v>
      </c>
      <c r="K31" s="20">
        <v>45810</v>
      </c>
      <c r="L31" s="18" t="s">
        <v>365</v>
      </c>
      <c r="N31" s="18" t="s">
        <v>364</v>
      </c>
      <c r="O31" s="18" t="s">
        <v>367</v>
      </c>
      <c r="P31" s="18" t="s">
        <v>368</v>
      </c>
      <c r="Q31" s="18" t="s">
        <v>104</v>
      </c>
      <c r="R31" s="18" t="s">
        <v>367</v>
      </c>
      <c r="U31" s="18" t="s">
        <v>366</v>
      </c>
      <c r="V31" s="18" t="s">
        <v>366</v>
      </c>
      <c r="W31" s="18" t="s">
        <v>369</v>
      </c>
      <c r="X31" s="18" t="b">
        <v>1</v>
      </c>
      <c r="Y31" s="18" t="s">
        <v>366</v>
      </c>
      <c r="Z31" s="18" t="s">
        <v>366</v>
      </c>
      <c r="AA31" s="18" t="s">
        <v>37</v>
      </c>
      <c r="AB31" s="18" t="s">
        <v>370</v>
      </c>
    </row>
    <row r="32" spans="1:28" s="17" customFormat="1" ht="12" customHeight="1">
      <c r="A32" s="17">
        <v>40</v>
      </c>
      <c r="B32" s="16" t="s">
        <v>1250</v>
      </c>
      <c r="C32" s="18" t="s">
        <v>374</v>
      </c>
      <c r="D32" s="18" t="s">
        <v>371</v>
      </c>
      <c r="E32" s="18" t="s">
        <v>230</v>
      </c>
      <c r="F32" s="18" t="s">
        <v>28</v>
      </c>
      <c r="G32" s="18" t="s">
        <v>29</v>
      </c>
      <c r="H32" s="18" t="s">
        <v>29</v>
      </c>
      <c r="I32" s="18" t="s">
        <v>372</v>
      </c>
      <c r="J32" s="18" t="s">
        <v>271</v>
      </c>
      <c r="K32" s="20">
        <v>45901</v>
      </c>
      <c r="L32" s="18" t="s">
        <v>373</v>
      </c>
      <c r="N32" s="18" t="s">
        <v>372</v>
      </c>
      <c r="O32" s="18" t="s">
        <v>375</v>
      </c>
      <c r="P32" s="18" t="s">
        <v>376</v>
      </c>
      <c r="Q32" s="18" t="s">
        <v>377</v>
      </c>
      <c r="R32" s="18" t="s">
        <v>375</v>
      </c>
      <c r="U32" s="18" t="s">
        <v>374</v>
      </c>
      <c r="V32" s="18" t="s">
        <v>374</v>
      </c>
      <c r="W32" s="18" t="s">
        <v>378</v>
      </c>
      <c r="X32" s="18" t="b">
        <v>1</v>
      </c>
      <c r="Y32" s="18" t="s">
        <v>374</v>
      </c>
      <c r="Z32" s="18" t="s">
        <v>374</v>
      </c>
      <c r="AA32" s="18" t="s">
        <v>37</v>
      </c>
      <c r="AB32" s="18" t="s">
        <v>379</v>
      </c>
    </row>
    <row r="33" spans="1:28" s="17" customFormat="1" ht="12" customHeight="1">
      <c r="A33" s="17">
        <v>41</v>
      </c>
      <c r="B33" s="16" t="s">
        <v>1250</v>
      </c>
      <c r="C33" s="18" t="s">
        <v>383</v>
      </c>
      <c r="E33" s="18" t="s">
        <v>380</v>
      </c>
      <c r="F33" s="18" t="s">
        <v>28</v>
      </c>
      <c r="G33" s="18" t="s">
        <v>29</v>
      </c>
      <c r="H33" s="18" t="s">
        <v>29</v>
      </c>
      <c r="I33" s="18" t="s">
        <v>381</v>
      </c>
      <c r="J33" s="18" t="s">
        <v>271</v>
      </c>
      <c r="K33" s="20">
        <v>45870</v>
      </c>
      <c r="L33" s="18" t="s">
        <v>382</v>
      </c>
      <c r="N33" s="18" t="s">
        <v>381</v>
      </c>
      <c r="O33" s="18" t="s">
        <v>384</v>
      </c>
      <c r="P33" s="18" t="s">
        <v>385</v>
      </c>
      <c r="Q33" s="18" t="s">
        <v>386</v>
      </c>
      <c r="R33" s="18" t="s">
        <v>384</v>
      </c>
      <c r="U33" s="18" t="s">
        <v>383</v>
      </c>
      <c r="V33" s="18" t="s">
        <v>383</v>
      </c>
      <c r="W33" s="18" t="s">
        <v>387</v>
      </c>
      <c r="X33" s="18" t="b">
        <v>1</v>
      </c>
      <c r="Y33" s="18" t="s">
        <v>383</v>
      </c>
      <c r="Z33" s="18" t="s">
        <v>383</v>
      </c>
      <c r="AA33" s="18" t="s">
        <v>37</v>
      </c>
      <c r="AB33" s="18" t="s">
        <v>388</v>
      </c>
    </row>
    <row r="34" spans="1:28" s="17" customFormat="1" ht="12" customHeight="1">
      <c r="A34" s="17">
        <v>42</v>
      </c>
      <c r="B34" s="16" t="s">
        <v>1250</v>
      </c>
      <c r="C34" s="18" t="s">
        <v>1006</v>
      </c>
      <c r="E34" s="18" t="s">
        <v>389</v>
      </c>
      <c r="F34" s="18" t="s">
        <v>28</v>
      </c>
      <c r="G34" s="18" t="s">
        <v>29</v>
      </c>
      <c r="H34" s="18" t="s">
        <v>29</v>
      </c>
      <c r="I34" s="18" t="s">
        <v>162</v>
      </c>
      <c r="J34" s="18" t="s">
        <v>271</v>
      </c>
      <c r="K34" s="20">
        <v>45718</v>
      </c>
      <c r="L34" s="18" t="s">
        <v>390</v>
      </c>
      <c r="N34" s="18" t="s">
        <v>162</v>
      </c>
      <c r="O34" s="18" t="s">
        <v>163</v>
      </c>
      <c r="P34" s="18" t="s">
        <v>164</v>
      </c>
      <c r="Q34" s="18" t="s">
        <v>165</v>
      </c>
      <c r="R34" s="18" t="s">
        <v>163</v>
      </c>
      <c r="U34" s="18" t="s">
        <v>391</v>
      </c>
      <c r="V34" s="18" t="s">
        <v>391</v>
      </c>
      <c r="W34" s="18" t="s">
        <v>392</v>
      </c>
      <c r="X34" s="18" t="b">
        <v>1</v>
      </c>
      <c r="Y34" s="18" t="s">
        <v>391</v>
      </c>
      <c r="Z34" s="18" t="s">
        <v>391</v>
      </c>
      <c r="AA34" s="18" t="s">
        <v>37</v>
      </c>
      <c r="AB34" s="18" t="s">
        <v>393</v>
      </c>
    </row>
    <row r="35" spans="1:28" s="17" customFormat="1" ht="12" customHeight="1">
      <c r="A35" s="17">
        <v>43</v>
      </c>
      <c r="B35" s="16" t="s">
        <v>1250</v>
      </c>
      <c r="C35" s="18" t="s">
        <v>1005</v>
      </c>
      <c r="E35" s="18" t="s">
        <v>394</v>
      </c>
      <c r="F35" s="18" t="s">
        <v>28</v>
      </c>
      <c r="G35" s="18" t="s">
        <v>29</v>
      </c>
      <c r="H35" s="18" t="s">
        <v>29</v>
      </c>
      <c r="I35" s="18" t="s">
        <v>31</v>
      </c>
      <c r="J35" s="18" t="s">
        <v>271</v>
      </c>
      <c r="K35" s="20">
        <v>45840</v>
      </c>
      <c r="L35" s="18" t="s">
        <v>390</v>
      </c>
      <c r="N35" s="18" t="s">
        <v>31</v>
      </c>
      <c r="O35" s="18" t="s">
        <v>32</v>
      </c>
      <c r="P35" s="18" t="s">
        <v>33</v>
      </c>
      <c r="Q35" s="18" t="s">
        <v>34</v>
      </c>
      <c r="R35" s="18" t="s">
        <v>32</v>
      </c>
      <c r="U35" s="18" t="s">
        <v>395</v>
      </c>
      <c r="V35" s="18" t="s">
        <v>396</v>
      </c>
      <c r="W35" s="18" t="s">
        <v>397</v>
      </c>
      <c r="X35" s="18" t="b">
        <v>1</v>
      </c>
      <c r="Y35" s="18" t="s">
        <v>395</v>
      </c>
      <c r="Z35" s="18" t="s">
        <v>398</v>
      </c>
      <c r="AA35" s="18" t="s">
        <v>37</v>
      </c>
      <c r="AB35" s="18" t="s">
        <v>399</v>
      </c>
    </row>
    <row r="36" spans="1:28" s="17" customFormat="1" ht="12" customHeight="1">
      <c r="A36" s="17">
        <v>44</v>
      </c>
      <c r="B36" s="16" t="s">
        <v>1250</v>
      </c>
      <c r="C36" s="18" t="s">
        <v>404</v>
      </c>
      <c r="E36" s="18" t="s">
        <v>400</v>
      </c>
      <c r="F36" s="18" t="s">
        <v>28</v>
      </c>
      <c r="G36" s="18" t="s">
        <v>29</v>
      </c>
      <c r="H36" s="18" t="s">
        <v>29</v>
      </c>
      <c r="I36" s="18" t="s">
        <v>401</v>
      </c>
      <c r="J36" s="18" t="s">
        <v>402</v>
      </c>
      <c r="K36" s="20">
        <v>45871</v>
      </c>
      <c r="L36" s="18" t="s">
        <v>403</v>
      </c>
      <c r="N36" s="18" t="s">
        <v>401</v>
      </c>
      <c r="O36" s="18" t="s">
        <v>405</v>
      </c>
      <c r="P36" s="18" t="s">
        <v>406</v>
      </c>
      <c r="Q36" s="18" t="s">
        <v>407</v>
      </c>
      <c r="R36" s="18" t="s">
        <v>405</v>
      </c>
      <c r="U36" s="18" t="s">
        <v>404</v>
      </c>
      <c r="V36" s="18" t="s">
        <v>408</v>
      </c>
      <c r="W36" s="18" t="s">
        <v>409</v>
      </c>
      <c r="X36" s="18" t="b">
        <v>1</v>
      </c>
      <c r="Y36" s="18" t="s">
        <v>404</v>
      </c>
      <c r="Z36" s="18" t="s">
        <v>404</v>
      </c>
      <c r="AA36" s="18" t="s">
        <v>37</v>
      </c>
      <c r="AB36" s="18" t="s">
        <v>410</v>
      </c>
    </row>
    <row r="37" spans="1:28" s="17" customFormat="1" ht="12" customHeight="1">
      <c r="A37" s="17">
        <v>45</v>
      </c>
      <c r="B37" s="16" t="s">
        <v>1250</v>
      </c>
      <c r="C37" s="18" t="s">
        <v>414</v>
      </c>
      <c r="E37" s="18" t="s">
        <v>411</v>
      </c>
      <c r="F37" s="18" t="s">
        <v>28</v>
      </c>
      <c r="G37" s="18" t="s">
        <v>29</v>
      </c>
      <c r="H37" s="18" t="s">
        <v>29</v>
      </c>
      <c r="I37" s="18" t="s">
        <v>412</v>
      </c>
      <c r="J37" s="18" t="s">
        <v>271</v>
      </c>
      <c r="K37" s="20">
        <v>45718</v>
      </c>
      <c r="L37" s="18" t="s">
        <v>413</v>
      </c>
      <c r="N37" s="18" t="s">
        <v>412</v>
      </c>
      <c r="O37" s="18" t="s">
        <v>415</v>
      </c>
      <c r="P37" s="18" t="s">
        <v>416</v>
      </c>
      <c r="Q37" s="18" t="s">
        <v>97</v>
      </c>
      <c r="R37" s="18" t="s">
        <v>415</v>
      </c>
      <c r="U37" s="18" t="s">
        <v>414</v>
      </c>
      <c r="V37" s="18" t="s">
        <v>414</v>
      </c>
      <c r="W37" s="18" t="s">
        <v>417</v>
      </c>
      <c r="X37" s="18" t="b">
        <v>1</v>
      </c>
      <c r="Y37" s="18" t="s">
        <v>414</v>
      </c>
      <c r="Z37" s="18" t="s">
        <v>414</v>
      </c>
      <c r="AA37" s="18" t="s">
        <v>37</v>
      </c>
      <c r="AB37" s="18" t="s">
        <v>418</v>
      </c>
    </row>
    <row r="38" spans="1:28" s="17" customFormat="1" ht="12" customHeight="1">
      <c r="A38" s="17">
        <v>46</v>
      </c>
      <c r="B38" s="16" t="s">
        <v>1250</v>
      </c>
      <c r="C38" s="18" t="s">
        <v>422</v>
      </c>
      <c r="E38" s="18" t="s">
        <v>419</v>
      </c>
      <c r="F38" s="18" t="s">
        <v>28</v>
      </c>
      <c r="G38" s="18" t="s">
        <v>29</v>
      </c>
      <c r="H38" s="18" t="s">
        <v>29</v>
      </c>
      <c r="I38" s="18" t="s">
        <v>420</v>
      </c>
      <c r="J38" s="18" t="s">
        <v>271</v>
      </c>
      <c r="K38" s="20">
        <v>45809</v>
      </c>
      <c r="L38" s="18" t="s">
        <v>421</v>
      </c>
      <c r="N38" s="18" t="s">
        <v>420</v>
      </c>
      <c r="O38" s="18" t="s">
        <v>423</v>
      </c>
      <c r="P38" s="18" t="s">
        <v>424</v>
      </c>
      <c r="Q38" s="18" t="s">
        <v>425</v>
      </c>
      <c r="R38" s="18" t="s">
        <v>423</v>
      </c>
      <c r="U38" s="18" t="s">
        <v>422</v>
      </c>
      <c r="V38" s="18" t="s">
        <v>422</v>
      </c>
      <c r="W38" s="18" t="s">
        <v>426</v>
      </c>
      <c r="X38" s="18" t="b">
        <v>1</v>
      </c>
      <c r="Y38" s="18" t="s">
        <v>422</v>
      </c>
      <c r="Z38" s="18" t="s">
        <v>422</v>
      </c>
      <c r="AA38" s="18" t="s">
        <v>37</v>
      </c>
      <c r="AB38" s="18" t="s">
        <v>427</v>
      </c>
    </row>
    <row r="39" spans="1:28" s="17" customFormat="1" ht="12" customHeight="1">
      <c r="A39" s="17">
        <v>47</v>
      </c>
      <c r="B39" s="16" t="s">
        <v>1250</v>
      </c>
      <c r="C39" s="18" t="s">
        <v>432</v>
      </c>
      <c r="E39" s="18" t="s">
        <v>428</v>
      </c>
      <c r="F39" s="18" t="s">
        <v>429</v>
      </c>
      <c r="G39" s="18" t="s">
        <v>29</v>
      </c>
      <c r="H39" s="18" t="s">
        <v>29</v>
      </c>
      <c r="I39" s="18" t="s">
        <v>430</v>
      </c>
      <c r="J39" s="18" t="s">
        <v>271</v>
      </c>
      <c r="K39" s="20">
        <v>45839</v>
      </c>
      <c r="L39" s="18" t="s">
        <v>431</v>
      </c>
      <c r="N39" s="18" t="s">
        <v>430</v>
      </c>
      <c r="O39" s="18" t="s">
        <v>433</v>
      </c>
      <c r="P39" s="18" t="s">
        <v>434</v>
      </c>
      <c r="Q39" s="18" t="s">
        <v>435</v>
      </c>
      <c r="R39" s="18" t="s">
        <v>433</v>
      </c>
      <c r="U39" s="18" t="s">
        <v>432</v>
      </c>
      <c r="V39" s="18" t="s">
        <v>436</v>
      </c>
      <c r="W39" s="18" t="s">
        <v>437</v>
      </c>
      <c r="X39" s="18" t="b">
        <v>1</v>
      </c>
      <c r="Y39" s="18" t="s">
        <v>432</v>
      </c>
      <c r="Z39" s="18" t="s">
        <v>438</v>
      </c>
      <c r="AA39" s="18" t="s">
        <v>37</v>
      </c>
      <c r="AB39" s="18" t="s">
        <v>439</v>
      </c>
    </row>
    <row r="40" spans="1:28" s="17" customFormat="1" ht="12" customHeight="1">
      <c r="A40" s="17">
        <v>48</v>
      </c>
      <c r="B40" s="16" t="s">
        <v>1250</v>
      </c>
      <c r="C40" s="18" t="s">
        <v>1003</v>
      </c>
      <c r="D40" s="18" t="s">
        <v>440</v>
      </c>
      <c r="E40" s="18" t="s">
        <v>441</v>
      </c>
      <c r="F40" s="18" t="s">
        <v>28</v>
      </c>
      <c r="G40" s="18" t="s">
        <v>29</v>
      </c>
      <c r="H40" s="18" t="s">
        <v>29</v>
      </c>
      <c r="I40" s="18" t="s">
        <v>55</v>
      </c>
      <c r="J40" s="18" t="s">
        <v>271</v>
      </c>
      <c r="K40" s="20">
        <v>45840</v>
      </c>
      <c r="L40" s="18" t="s">
        <v>442</v>
      </c>
      <c r="N40" s="18" t="s">
        <v>55</v>
      </c>
      <c r="O40" s="18" t="s">
        <v>56</v>
      </c>
      <c r="P40" s="18" t="s">
        <v>57</v>
      </c>
      <c r="Q40" s="18" t="s">
        <v>58</v>
      </c>
      <c r="R40" s="18" t="s">
        <v>56</v>
      </c>
      <c r="U40" s="18" t="s">
        <v>443</v>
      </c>
      <c r="V40" s="18" t="s">
        <v>444</v>
      </c>
      <c r="W40" s="18" t="s">
        <v>445</v>
      </c>
      <c r="X40" s="18" t="b">
        <v>1</v>
      </c>
      <c r="Y40" s="18" t="s">
        <v>440</v>
      </c>
      <c r="Z40" s="18" t="s">
        <v>446</v>
      </c>
      <c r="AA40" s="18" t="s">
        <v>37</v>
      </c>
      <c r="AB40" s="18" t="s">
        <v>447</v>
      </c>
    </row>
    <row r="41" spans="1:28" s="17" customFormat="1" ht="12" customHeight="1">
      <c r="A41" s="17">
        <v>49</v>
      </c>
      <c r="B41" s="16" t="s">
        <v>1250</v>
      </c>
      <c r="C41" s="18" t="s">
        <v>451</v>
      </c>
      <c r="D41" s="18" t="s">
        <v>448</v>
      </c>
      <c r="E41" s="18" t="s">
        <v>449</v>
      </c>
      <c r="F41" s="18" t="s">
        <v>28</v>
      </c>
      <c r="G41" s="18" t="s">
        <v>29</v>
      </c>
      <c r="H41" s="18" t="s">
        <v>29</v>
      </c>
      <c r="I41" s="18" t="s">
        <v>450</v>
      </c>
      <c r="J41" s="18" t="s">
        <v>271</v>
      </c>
      <c r="K41" s="20">
        <v>45901</v>
      </c>
      <c r="L41" s="18" t="s">
        <v>442</v>
      </c>
      <c r="N41" s="18" t="s">
        <v>450</v>
      </c>
      <c r="O41" s="18" t="s">
        <v>452</v>
      </c>
      <c r="P41" s="18" t="s">
        <v>453</v>
      </c>
      <c r="Q41" s="18" t="s">
        <v>454</v>
      </c>
      <c r="R41" s="18" t="s">
        <v>452</v>
      </c>
      <c r="U41" s="18" t="s">
        <v>451</v>
      </c>
      <c r="V41" s="18" t="s">
        <v>455</v>
      </c>
      <c r="W41" s="18" t="s">
        <v>456</v>
      </c>
      <c r="X41" s="18" t="b">
        <v>1</v>
      </c>
      <c r="Y41" s="18" t="s">
        <v>448</v>
      </c>
      <c r="Z41" s="18" t="s">
        <v>457</v>
      </c>
      <c r="AA41" s="18" t="s">
        <v>37</v>
      </c>
      <c r="AB41" s="18" t="s">
        <v>458</v>
      </c>
    </row>
    <row r="42" spans="1:28" s="17" customFormat="1" ht="12" customHeight="1">
      <c r="A42" s="17">
        <v>50</v>
      </c>
      <c r="B42" s="16" t="s">
        <v>1250</v>
      </c>
      <c r="C42" s="18" t="s">
        <v>463</v>
      </c>
      <c r="D42" s="18" t="s">
        <v>459</v>
      </c>
      <c r="E42" s="18" t="s">
        <v>460</v>
      </c>
      <c r="F42" s="18" t="s">
        <v>28</v>
      </c>
      <c r="G42" s="18" t="s">
        <v>29</v>
      </c>
      <c r="H42" s="18" t="s">
        <v>29</v>
      </c>
      <c r="I42" s="18" t="s">
        <v>461</v>
      </c>
      <c r="J42" s="18" t="s">
        <v>271</v>
      </c>
      <c r="K42" s="20">
        <v>45659</v>
      </c>
      <c r="L42" s="18" t="s">
        <v>462</v>
      </c>
      <c r="N42" s="18" t="s">
        <v>461</v>
      </c>
      <c r="O42" s="18" t="s">
        <v>464</v>
      </c>
      <c r="Q42" s="18" t="s">
        <v>97</v>
      </c>
      <c r="R42" s="18" t="s">
        <v>464</v>
      </c>
      <c r="U42" s="18" t="s">
        <v>463</v>
      </c>
      <c r="V42" s="18" t="s">
        <v>465</v>
      </c>
      <c r="W42" s="18" t="s">
        <v>466</v>
      </c>
      <c r="X42" s="18" t="b">
        <v>1</v>
      </c>
      <c r="Y42" s="18" t="s">
        <v>459</v>
      </c>
      <c r="Z42" s="18" t="s">
        <v>467</v>
      </c>
      <c r="AA42" s="18" t="s">
        <v>37</v>
      </c>
      <c r="AB42" s="18" t="s">
        <v>468</v>
      </c>
    </row>
    <row r="43" spans="1:28" s="17" customFormat="1" ht="12" customHeight="1">
      <c r="A43" s="17">
        <v>51</v>
      </c>
      <c r="B43" s="16" t="s">
        <v>1250</v>
      </c>
      <c r="C43" s="18" t="s">
        <v>472</v>
      </c>
      <c r="E43" s="18" t="s">
        <v>469</v>
      </c>
      <c r="F43" s="18" t="s">
        <v>28</v>
      </c>
      <c r="G43" s="18" t="s">
        <v>29</v>
      </c>
      <c r="H43" s="18" t="s">
        <v>29</v>
      </c>
      <c r="I43" s="18" t="s">
        <v>470</v>
      </c>
      <c r="J43" s="18" t="s">
        <v>271</v>
      </c>
      <c r="K43" s="20">
        <v>45871</v>
      </c>
      <c r="L43" s="18" t="s">
        <v>471</v>
      </c>
      <c r="N43" s="18" t="s">
        <v>470</v>
      </c>
      <c r="O43" s="18" t="s">
        <v>473</v>
      </c>
      <c r="P43" s="18" t="s">
        <v>474</v>
      </c>
      <c r="Q43" s="18" t="s">
        <v>454</v>
      </c>
      <c r="R43" s="18" t="s">
        <v>473</v>
      </c>
      <c r="U43" s="18" t="s">
        <v>472</v>
      </c>
      <c r="V43" s="18" t="s">
        <v>472</v>
      </c>
      <c r="W43" s="18" t="s">
        <v>475</v>
      </c>
      <c r="X43" s="18" t="b">
        <v>1</v>
      </c>
      <c r="Y43" s="18" t="s">
        <v>472</v>
      </c>
      <c r="Z43" s="18" t="s">
        <v>472</v>
      </c>
      <c r="AA43" s="18" t="s">
        <v>37</v>
      </c>
      <c r="AB43" s="18" t="s">
        <v>476</v>
      </c>
    </row>
    <row r="44" spans="1:28" s="17" customFormat="1" ht="12" customHeight="1">
      <c r="A44" s="17">
        <v>52</v>
      </c>
      <c r="B44" s="16" t="s">
        <v>1250</v>
      </c>
      <c r="C44" s="18" t="s">
        <v>480</v>
      </c>
      <c r="E44" s="18" t="s">
        <v>477</v>
      </c>
      <c r="F44" s="18" t="s">
        <v>28</v>
      </c>
      <c r="G44" s="18" t="s">
        <v>29</v>
      </c>
      <c r="H44" s="18" t="s">
        <v>29</v>
      </c>
      <c r="I44" s="18" t="s">
        <v>478</v>
      </c>
      <c r="J44" s="18" t="s">
        <v>271</v>
      </c>
      <c r="K44" s="20">
        <v>45871</v>
      </c>
      <c r="L44" s="18" t="s">
        <v>479</v>
      </c>
      <c r="N44" s="18" t="s">
        <v>478</v>
      </c>
      <c r="O44" s="18" t="s">
        <v>481</v>
      </c>
      <c r="P44" s="18" t="s">
        <v>482</v>
      </c>
      <c r="Q44" s="18" t="s">
        <v>224</v>
      </c>
      <c r="R44" s="18" t="s">
        <v>481</v>
      </c>
      <c r="U44" s="18" t="s">
        <v>480</v>
      </c>
      <c r="V44" s="18" t="s">
        <v>480</v>
      </c>
      <c r="W44" s="18" t="s">
        <v>483</v>
      </c>
      <c r="X44" s="18" t="b">
        <v>1</v>
      </c>
      <c r="Y44" s="18" t="s">
        <v>480</v>
      </c>
      <c r="Z44" s="18" t="s">
        <v>480</v>
      </c>
      <c r="AA44" s="18" t="s">
        <v>37</v>
      </c>
      <c r="AB44" s="18" t="s">
        <v>484</v>
      </c>
    </row>
    <row r="45" spans="1:28" s="17" customFormat="1" ht="12" customHeight="1">
      <c r="A45" s="17">
        <v>53</v>
      </c>
      <c r="B45" s="16" t="s">
        <v>1250</v>
      </c>
      <c r="C45" s="18" t="s">
        <v>489</v>
      </c>
      <c r="E45" s="18" t="s">
        <v>485</v>
      </c>
      <c r="F45" s="18" t="s">
        <v>28</v>
      </c>
      <c r="G45" s="18" t="s">
        <v>29</v>
      </c>
      <c r="H45" s="18" t="s">
        <v>29</v>
      </c>
      <c r="I45" s="18" t="s">
        <v>486</v>
      </c>
      <c r="J45" s="18" t="s">
        <v>402</v>
      </c>
      <c r="K45" s="18" t="s">
        <v>487</v>
      </c>
      <c r="L45" s="18" t="s">
        <v>488</v>
      </c>
      <c r="N45" s="18" t="s">
        <v>486</v>
      </c>
      <c r="O45" s="18" t="s">
        <v>490</v>
      </c>
      <c r="P45" s="18" t="s">
        <v>491</v>
      </c>
      <c r="Q45" s="18" t="s">
        <v>492</v>
      </c>
      <c r="R45" s="18" t="s">
        <v>490</v>
      </c>
      <c r="U45" s="18" t="s">
        <v>489</v>
      </c>
      <c r="V45" s="18" t="s">
        <v>489</v>
      </c>
      <c r="W45" s="18" t="s">
        <v>493</v>
      </c>
      <c r="X45" s="18" t="b">
        <v>1</v>
      </c>
      <c r="Y45" s="18" t="s">
        <v>489</v>
      </c>
      <c r="Z45" s="18" t="s">
        <v>489</v>
      </c>
      <c r="AA45" s="18" t="s">
        <v>37</v>
      </c>
      <c r="AB45" s="18" t="s">
        <v>494</v>
      </c>
    </row>
    <row r="46" spans="1:28" s="17" customFormat="1" ht="12" customHeight="1">
      <c r="A46" s="17">
        <v>54</v>
      </c>
      <c r="B46" s="16" t="s">
        <v>1250</v>
      </c>
      <c r="C46" s="18" t="s">
        <v>499</v>
      </c>
      <c r="D46" s="18" t="s">
        <v>495</v>
      </c>
      <c r="E46" s="18" t="s">
        <v>496</v>
      </c>
      <c r="F46" s="18" t="s">
        <v>42</v>
      </c>
      <c r="G46" s="18" t="s">
        <v>29</v>
      </c>
      <c r="H46" s="18" t="s">
        <v>29</v>
      </c>
      <c r="I46" s="18" t="s">
        <v>497</v>
      </c>
      <c r="J46" s="18" t="s">
        <v>271</v>
      </c>
      <c r="K46" s="20">
        <v>45690</v>
      </c>
      <c r="L46" s="18" t="s">
        <v>498</v>
      </c>
      <c r="N46" s="18" t="s">
        <v>497</v>
      </c>
      <c r="O46" s="18" t="s">
        <v>500</v>
      </c>
      <c r="P46" s="18" t="s">
        <v>501</v>
      </c>
      <c r="Q46" s="18" t="s">
        <v>359</v>
      </c>
      <c r="R46" s="18" t="s">
        <v>500</v>
      </c>
      <c r="U46" s="18" t="s">
        <v>499</v>
      </c>
      <c r="V46" s="18" t="s">
        <v>499</v>
      </c>
      <c r="W46" s="18" t="s">
        <v>502</v>
      </c>
      <c r="X46" s="18" t="b">
        <v>1</v>
      </c>
      <c r="Y46" s="18" t="s">
        <v>495</v>
      </c>
      <c r="Z46" s="18" t="s">
        <v>495</v>
      </c>
      <c r="AA46" s="18" t="s">
        <v>37</v>
      </c>
      <c r="AB46" s="18" t="s">
        <v>503</v>
      </c>
    </row>
    <row r="47" spans="1:28" s="17" customFormat="1" ht="12" customHeight="1">
      <c r="A47" s="17">
        <v>55</v>
      </c>
      <c r="B47" s="16" t="s">
        <v>1250</v>
      </c>
      <c r="C47" s="18" t="s">
        <v>507</v>
      </c>
      <c r="E47" s="18" t="s">
        <v>504</v>
      </c>
      <c r="F47" s="18" t="s">
        <v>42</v>
      </c>
      <c r="G47" s="18" t="s">
        <v>29</v>
      </c>
      <c r="H47" s="18" t="s">
        <v>29</v>
      </c>
      <c r="I47" s="18" t="s">
        <v>505</v>
      </c>
      <c r="J47" s="18" t="s">
        <v>271</v>
      </c>
      <c r="K47" s="18" t="s">
        <v>354</v>
      </c>
      <c r="L47" s="18" t="s">
        <v>506</v>
      </c>
      <c r="N47" s="18" t="s">
        <v>505</v>
      </c>
      <c r="O47" s="18" t="s">
        <v>508</v>
      </c>
      <c r="P47" s="18" t="s">
        <v>509</v>
      </c>
      <c r="Q47" s="18" t="s">
        <v>510</v>
      </c>
      <c r="R47" s="18" t="s">
        <v>508</v>
      </c>
      <c r="U47" s="18" t="s">
        <v>507</v>
      </c>
      <c r="V47" s="18" t="s">
        <v>507</v>
      </c>
      <c r="W47" s="18" t="s">
        <v>511</v>
      </c>
      <c r="X47" s="18" t="b">
        <v>1</v>
      </c>
      <c r="Y47" s="18" t="s">
        <v>507</v>
      </c>
      <c r="Z47" s="18" t="s">
        <v>507</v>
      </c>
      <c r="AA47" s="18" t="s">
        <v>37</v>
      </c>
      <c r="AB47" s="18" t="s">
        <v>512</v>
      </c>
    </row>
    <row r="48" spans="1:28" s="17" customFormat="1" ht="12" customHeight="1">
      <c r="A48" s="17">
        <v>56</v>
      </c>
      <c r="B48" s="16" t="s">
        <v>1250</v>
      </c>
      <c r="C48" s="18" t="s">
        <v>517</v>
      </c>
      <c r="D48" s="18" t="s">
        <v>513</v>
      </c>
      <c r="E48" s="18" t="s">
        <v>514</v>
      </c>
      <c r="F48" s="18" t="s">
        <v>42</v>
      </c>
      <c r="G48" s="18" t="s">
        <v>29</v>
      </c>
      <c r="H48" s="18" t="s">
        <v>29</v>
      </c>
      <c r="I48" s="18" t="s">
        <v>515</v>
      </c>
      <c r="J48" s="18" t="s">
        <v>271</v>
      </c>
      <c r="K48" s="20">
        <v>45809</v>
      </c>
      <c r="L48" s="18" t="s">
        <v>516</v>
      </c>
      <c r="N48" s="18" t="s">
        <v>515</v>
      </c>
      <c r="O48" s="18" t="s">
        <v>518</v>
      </c>
      <c r="P48" s="18" t="s">
        <v>519</v>
      </c>
      <c r="Q48" s="18" t="s">
        <v>76</v>
      </c>
      <c r="R48" s="18" t="s">
        <v>518</v>
      </c>
      <c r="U48" s="18" t="s">
        <v>517</v>
      </c>
      <c r="V48" s="18" t="s">
        <v>520</v>
      </c>
      <c r="W48" s="18" t="s">
        <v>521</v>
      </c>
      <c r="X48" s="18" t="b">
        <v>1</v>
      </c>
      <c r="Y48" s="18" t="s">
        <v>513</v>
      </c>
      <c r="Z48" s="18" t="s">
        <v>513</v>
      </c>
      <c r="AA48" s="18" t="s">
        <v>37</v>
      </c>
      <c r="AB48" s="18" t="s">
        <v>522</v>
      </c>
    </row>
    <row r="49" spans="1:28" s="17" customFormat="1" ht="12" customHeight="1">
      <c r="A49" s="17">
        <v>57</v>
      </c>
      <c r="B49" s="16" t="s">
        <v>1250</v>
      </c>
      <c r="C49" s="18" t="s">
        <v>526</v>
      </c>
      <c r="D49" s="18" t="s">
        <v>523</v>
      </c>
      <c r="E49" s="18" t="s">
        <v>514</v>
      </c>
      <c r="F49" s="18" t="s">
        <v>42</v>
      </c>
      <c r="G49" s="18" t="s">
        <v>29</v>
      </c>
      <c r="H49" s="18" t="s">
        <v>29</v>
      </c>
      <c r="I49" s="19" t="s">
        <v>998</v>
      </c>
      <c r="J49" s="18" t="s">
        <v>271</v>
      </c>
      <c r="K49" s="20">
        <v>45691</v>
      </c>
      <c r="L49" s="18" t="s">
        <v>525</v>
      </c>
      <c r="N49" s="18" t="s">
        <v>524</v>
      </c>
      <c r="O49" s="18" t="s">
        <v>527</v>
      </c>
      <c r="P49" s="18" t="s">
        <v>528</v>
      </c>
      <c r="Q49" s="18" t="s">
        <v>435</v>
      </c>
      <c r="R49" s="18" t="s">
        <v>527</v>
      </c>
      <c r="U49" s="18" t="s">
        <v>526</v>
      </c>
      <c r="V49" s="18" t="s">
        <v>529</v>
      </c>
      <c r="W49" s="18" t="s">
        <v>530</v>
      </c>
      <c r="X49" s="18" t="b">
        <v>1</v>
      </c>
      <c r="Y49" s="18" t="s">
        <v>523</v>
      </c>
      <c r="Z49" s="18" t="s">
        <v>523</v>
      </c>
      <c r="AA49" s="18" t="s">
        <v>37</v>
      </c>
      <c r="AB49" s="18" t="s">
        <v>531</v>
      </c>
    </row>
    <row r="50" spans="1:28" s="17" customFormat="1" ht="12" customHeight="1">
      <c r="A50" s="17">
        <v>58</v>
      </c>
      <c r="B50" s="16" t="s">
        <v>1250</v>
      </c>
      <c r="C50" s="18" t="s">
        <v>534</v>
      </c>
      <c r="D50" s="18" t="s">
        <v>532</v>
      </c>
      <c r="E50" s="18" t="s">
        <v>138</v>
      </c>
      <c r="F50" s="18" t="s">
        <v>92</v>
      </c>
      <c r="G50" s="18" t="s">
        <v>110</v>
      </c>
      <c r="H50" s="18" t="s">
        <v>110</v>
      </c>
      <c r="I50" s="21" t="s">
        <v>1183</v>
      </c>
      <c r="J50" s="18" t="s">
        <v>271</v>
      </c>
      <c r="K50" s="20">
        <v>45870</v>
      </c>
      <c r="L50" s="18" t="s">
        <v>533</v>
      </c>
      <c r="N50" s="21" t="s">
        <v>1183</v>
      </c>
      <c r="O50" s="18" t="s">
        <v>535</v>
      </c>
      <c r="P50" s="18" t="s">
        <v>536</v>
      </c>
      <c r="Q50" s="18" t="s">
        <v>140</v>
      </c>
      <c r="R50" s="18" t="s">
        <v>535</v>
      </c>
      <c r="U50" s="18" t="s">
        <v>534</v>
      </c>
      <c r="V50" s="18" t="s">
        <v>534</v>
      </c>
      <c r="W50" s="18" t="s">
        <v>537</v>
      </c>
      <c r="X50" s="18" t="b">
        <v>1</v>
      </c>
      <c r="Y50" s="18" t="s">
        <v>534</v>
      </c>
      <c r="Z50" s="18" t="s">
        <v>534</v>
      </c>
      <c r="AA50" s="18" t="s">
        <v>68</v>
      </c>
      <c r="AB50" s="18" t="s">
        <v>538</v>
      </c>
    </row>
    <row r="51" spans="1:28" s="17" customFormat="1" ht="12" customHeight="1">
      <c r="A51" s="17">
        <v>59</v>
      </c>
      <c r="B51" s="16" t="s">
        <v>1250</v>
      </c>
      <c r="C51" s="18" t="s">
        <v>542</v>
      </c>
      <c r="E51" s="18" t="s">
        <v>539</v>
      </c>
      <c r="F51" s="18" t="s">
        <v>92</v>
      </c>
      <c r="G51" s="18" t="s">
        <v>110</v>
      </c>
      <c r="H51" s="18" t="s">
        <v>110</v>
      </c>
      <c r="I51" s="18" t="s">
        <v>540</v>
      </c>
      <c r="J51" s="18" t="s">
        <v>271</v>
      </c>
      <c r="K51" s="18" t="s">
        <v>354</v>
      </c>
      <c r="L51" s="18" t="s">
        <v>541</v>
      </c>
      <c r="N51" s="18" t="s">
        <v>540</v>
      </c>
      <c r="O51" s="18" t="s">
        <v>543</v>
      </c>
      <c r="P51" s="18" t="s">
        <v>544</v>
      </c>
      <c r="Q51" s="18" t="s">
        <v>545</v>
      </c>
      <c r="R51" s="18" t="s">
        <v>543</v>
      </c>
      <c r="U51" s="18" t="s">
        <v>542</v>
      </c>
      <c r="V51" s="18" t="s">
        <v>542</v>
      </c>
      <c r="W51" s="18" t="s">
        <v>546</v>
      </c>
      <c r="X51" s="18" t="b">
        <v>1</v>
      </c>
      <c r="Y51" s="18" t="s">
        <v>542</v>
      </c>
      <c r="Z51" s="18" t="s">
        <v>542</v>
      </c>
      <c r="AA51" s="18" t="s">
        <v>68</v>
      </c>
      <c r="AB51" s="18" t="s">
        <v>547</v>
      </c>
    </row>
    <row r="52" spans="1:28" s="17" customFormat="1" ht="12" customHeight="1">
      <c r="A52" s="17">
        <v>60</v>
      </c>
      <c r="B52" s="16" t="s">
        <v>1250</v>
      </c>
      <c r="C52" s="18" t="s">
        <v>552</v>
      </c>
      <c r="D52" s="18" t="s">
        <v>548</v>
      </c>
      <c r="E52" s="18" t="s">
        <v>549</v>
      </c>
      <c r="F52" s="18" t="s">
        <v>28</v>
      </c>
      <c r="G52" s="18" t="s">
        <v>110</v>
      </c>
      <c r="H52" s="18" t="s">
        <v>110</v>
      </c>
      <c r="I52" s="18" t="s">
        <v>550</v>
      </c>
      <c r="J52" s="18" t="s">
        <v>271</v>
      </c>
      <c r="K52" s="20">
        <v>45809</v>
      </c>
      <c r="L52" s="18" t="s">
        <v>551</v>
      </c>
      <c r="N52" s="18" t="s">
        <v>550</v>
      </c>
      <c r="O52" s="18" t="s">
        <v>553</v>
      </c>
      <c r="P52" s="18" t="s">
        <v>554</v>
      </c>
      <c r="Q52" s="18" t="s">
        <v>555</v>
      </c>
      <c r="R52" s="18" t="s">
        <v>553</v>
      </c>
      <c r="U52" s="18" t="s">
        <v>552</v>
      </c>
      <c r="V52" s="18" t="s">
        <v>556</v>
      </c>
      <c r="W52" s="18" t="s">
        <v>557</v>
      </c>
      <c r="X52" s="18" t="b">
        <v>1</v>
      </c>
      <c r="Y52" s="18" t="s">
        <v>548</v>
      </c>
      <c r="Z52" s="18" t="s">
        <v>558</v>
      </c>
      <c r="AA52" s="18" t="s">
        <v>68</v>
      </c>
      <c r="AB52" s="18" t="s">
        <v>559</v>
      </c>
    </row>
    <row r="53" spans="1:28" s="17" customFormat="1" ht="12" customHeight="1">
      <c r="A53" s="17">
        <v>61</v>
      </c>
      <c r="B53" s="16" t="s">
        <v>1250</v>
      </c>
      <c r="C53" s="18" t="s">
        <v>564</v>
      </c>
      <c r="D53" s="18" t="s">
        <v>560</v>
      </c>
      <c r="E53" s="18" t="s">
        <v>561</v>
      </c>
      <c r="F53" s="18" t="s">
        <v>28</v>
      </c>
      <c r="G53" s="18" t="s">
        <v>110</v>
      </c>
      <c r="H53" s="18" t="s">
        <v>110</v>
      </c>
      <c r="I53" s="18" t="s">
        <v>562</v>
      </c>
      <c r="J53" s="18" t="s">
        <v>271</v>
      </c>
      <c r="K53" s="20">
        <v>45718</v>
      </c>
      <c r="L53" s="18" t="s">
        <v>563</v>
      </c>
      <c r="N53" s="18" t="s">
        <v>562</v>
      </c>
      <c r="O53" s="18" t="s">
        <v>565</v>
      </c>
      <c r="Q53" s="18" t="s">
        <v>566</v>
      </c>
      <c r="R53" s="18" t="s">
        <v>565</v>
      </c>
      <c r="U53" s="18" t="s">
        <v>564</v>
      </c>
      <c r="V53" s="18" t="s">
        <v>564</v>
      </c>
      <c r="W53" s="18" t="s">
        <v>567</v>
      </c>
      <c r="X53" s="18" t="b">
        <v>1</v>
      </c>
      <c r="Y53" s="18" t="s">
        <v>564</v>
      </c>
      <c r="Z53" s="18" t="s">
        <v>564</v>
      </c>
      <c r="AA53" s="18" t="s">
        <v>68</v>
      </c>
      <c r="AB53" s="18" t="s">
        <v>568</v>
      </c>
    </row>
    <row r="54" spans="1:28" s="17" customFormat="1" ht="12" customHeight="1">
      <c r="A54" s="17">
        <v>62</v>
      </c>
      <c r="B54" s="16" t="s">
        <v>1250</v>
      </c>
      <c r="C54" s="18" t="s">
        <v>572</v>
      </c>
      <c r="E54" s="18" t="s">
        <v>569</v>
      </c>
      <c r="F54" s="18" t="s">
        <v>28</v>
      </c>
      <c r="G54" s="18" t="s">
        <v>110</v>
      </c>
      <c r="H54" s="18" t="s">
        <v>110</v>
      </c>
      <c r="I54" s="18" t="s">
        <v>570</v>
      </c>
      <c r="J54" s="18" t="s">
        <v>271</v>
      </c>
      <c r="K54" s="20">
        <v>45809</v>
      </c>
      <c r="L54" s="18" t="s">
        <v>571</v>
      </c>
      <c r="N54" s="18" t="s">
        <v>570</v>
      </c>
      <c r="O54" s="18" t="s">
        <v>573</v>
      </c>
      <c r="Q54" s="18" t="s">
        <v>566</v>
      </c>
      <c r="R54" s="18" t="s">
        <v>573</v>
      </c>
      <c r="U54" s="18" t="s">
        <v>572</v>
      </c>
      <c r="V54" s="18" t="s">
        <v>572</v>
      </c>
      <c r="W54" s="18" t="s">
        <v>574</v>
      </c>
      <c r="X54" s="18" t="b">
        <v>1</v>
      </c>
      <c r="Y54" s="18" t="s">
        <v>572</v>
      </c>
      <c r="Z54" s="18" t="s">
        <v>572</v>
      </c>
      <c r="AA54" s="18" t="s">
        <v>68</v>
      </c>
      <c r="AB54" s="18" t="s">
        <v>575</v>
      </c>
    </row>
    <row r="55" spans="1:28" s="17" customFormat="1" ht="12" customHeight="1">
      <c r="A55" s="17">
        <v>63</v>
      </c>
      <c r="B55" s="16" t="s">
        <v>1250</v>
      </c>
      <c r="C55" s="18" t="s">
        <v>579</v>
      </c>
      <c r="E55" s="18" t="s">
        <v>576</v>
      </c>
      <c r="F55" s="18" t="s">
        <v>28</v>
      </c>
      <c r="G55" s="18" t="s">
        <v>110</v>
      </c>
      <c r="H55" s="18" t="s">
        <v>110</v>
      </c>
      <c r="I55" s="18" t="s">
        <v>577</v>
      </c>
      <c r="J55" s="18" t="s">
        <v>271</v>
      </c>
      <c r="K55" s="20">
        <v>45810</v>
      </c>
      <c r="L55" s="18" t="s">
        <v>578</v>
      </c>
      <c r="N55" s="18" t="s">
        <v>577</v>
      </c>
      <c r="O55" s="18" t="s">
        <v>580</v>
      </c>
      <c r="P55" s="18" t="s">
        <v>581</v>
      </c>
      <c r="Q55" s="18" t="s">
        <v>492</v>
      </c>
      <c r="R55" s="18" t="s">
        <v>580</v>
      </c>
      <c r="U55" s="18" t="s">
        <v>579</v>
      </c>
      <c r="V55" s="18" t="s">
        <v>579</v>
      </c>
      <c r="W55" s="18" t="s">
        <v>582</v>
      </c>
      <c r="X55" s="18" t="b">
        <v>1</v>
      </c>
      <c r="Y55" s="18" t="s">
        <v>579</v>
      </c>
      <c r="Z55" s="18" t="s">
        <v>579</v>
      </c>
      <c r="AA55" s="18" t="s">
        <v>68</v>
      </c>
      <c r="AB55" s="18" t="s">
        <v>583</v>
      </c>
    </row>
    <row r="56" spans="1:28" s="17" customFormat="1" ht="12" customHeight="1">
      <c r="A56" s="17">
        <v>64</v>
      </c>
      <c r="B56" s="16" t="s">
        <v>1250</v>
      </c>
      <c r="C56" s="18" t="s">
        <v>588</v>
      </c>
      <c r="D56" s="18" t="s">
        <v>584</v>
      </c>
      <c r="E56" s="18" t="s">
        <v>1016</v>
      </c>
      <c r="F56" s="18" t="s">
        <v>28</v>
      </c>
      <c r="G56" s="18" t="s">
        <v>585</v>
      </c>
      <c r="H56" s="18" t="s">
        <v>585</v>
      </c>
      <c r="I56" s="18" t="s">
        <v>586</v>
      </c>
      <c r="J56" s="18" t="s">
        <v>271</v>
      </c>
      <c r="K56" s="20">
        <v>45718</v>
      </c>
      <c r="L56" s="18" t="s">
        <v>587</v>
      </c>
      <c r="N56" s="18" t="s">
        <v>586</v>
      </c>
      <c r="O56" s="18" t="s">
        <v>589</v>
      </c>
      <c r="P56" s="18" t="s">
        <v>590</v>
      </c>
      <c r="Q56" s="18" t="s">
        <v>591</v>
      </c>
      <c r="R56" s="18" t="s">
        <v>589</v>
      </c>
      <c r="U56" s="18" t="s">
        <v>588</v>
      </c>
      <c r="V56" s="18" t="s">
        <v>588</v>
      </c>
      <c r="W56" s="18" t="s">
        <v>592</v>
      </c>
      <c r="X56" s="18" t="b">
        <v>1</v>
      </c>
      <c r="Y56" s="18" t="s">
        <v>588</v>
      </c>
      <c r="Z56" s="18" t="s">
        <v>588</v>
      </c>
      <c r="AA56" s="18" t="s">
        <v>198</v>
      </c>
      <c r="AB56" s="18" t="s">
        <v>593</v>
      </c>
    </row>
    <row r="57" spans="1:28" s="17" customFormat="1" ht="12" customHeight="1">
      <c r="A57" s="17">
        <v>65</v>
      </c>
      <c r="B57" s="16" t="s">
        <v>1250</v>
      </c>
      <c r="C57" s="18" t="s">
        <v>597</v>
      </c>
      <c r="E57" s="18" t="s">
        <v>594</v>
      </c>
      <c r="F57" s="18" t="s">
        <v>28</v>
      </c>
      <c r="G57" s="18" t="s">
        <v>585</v>
      </c>
      <c r="H57" s="18" t="s">
        <v>585</v>
      </c>
      <c r="I57" s="18" t="s">
        <v>595</v>
      </c>
      <c r="J57" s="18" t="s">
        <v>271</v>
      </c>
      <c r="K57" s="20">
        <v>45839</v>
      </c>
      <c r="L57" s="18" t="s">
        <v>596</v>
      </c>
      <c r="N57" s="18" t="s">
        <v>595</v>
      </c>
      <c r="O57" s="18" t="s">
        <v>598</v>
      </c>
      <c r="P57" s="18" t="s">
        <v>599</v>
      </c>
      <c r="Q57" s="18" t="s">
        <v>591</v>
      </c>
      <c r="R57" s="18" t="s">
        <v>598</v>
      </c>
      <c r="U57" s="18" t="s">
        <v>597</v>
      </c>
      <c r="V57" s="18" t="s">
        <v>597</v>
      </c>
      <c r="W57" s="18" t="s">
        <v>600</v>
      </c>
      <c r="X57" s="18" t="b">
        <v>1</v>
      </c>
      <c r="Y57" s="18" t="s">
        <v>597</v>
      </c>
      <c r="Z57" s="18" t="s">
        <v>597</v>
      </c>
      <c r="AA57" s="18" t="s">
        <v>198</v>
      </c>
      <c r="AB57" s="18" t="s">
        <v>601</v>
      </c>
    </row>
    <row r="58" spans="1:28" s="17" customFormat="1" ht="12" customHeight="1">
      <c r="A58" s="17">
        <v>66</v>
      </c>
      <c r="B58" s="16" t="s">
        <v>1250</v>
      </c>
      <c r="C58" s="18" t="s">
        <v>605</v>
      </c>
      <c r="E58" s="18" t="s">
        <v>602</v>
      </c>
      <c r="F58" s="18" t="s">
        <v>28</v>
      </c>
      <c r="G58" s="18" t="s">
        <v>585</v>
      </c>
      <c r="H58" s="18" t="s">
        <v>585</v>
      </c>
      <c r="I58" s="18" t="s">
        <v>603</v>
      </c>
      <c r="J58" s="18" t="s">
        <v>271</v>
      </c>
      <c r="K58" s="20">
        <v>45871</v>
      </c>
      <c r="L58" s="18" t="s">
        <v>604</v>
      </c>
      <c r="N58" s="18" t="s">
        <v>603</v>
      </c>
      <c r="O58" s="18" t="s">
        <v>606</v>
      </c>
      <c r="P58" s="18" t="s">
        <v>607</v>
      </c>
      <c r="Q58" s="18" t="s">
        <v>608</v>
      </c>
      <c r="R58" s="18" t="s">
        <v>606</v>
      </c>
      <c r="U58" s="18" t="s">
        <v>605</v>
      </c>
      <c r="V58" s="18" t="s">
        <v>605</v>
      </c>
      <c r="W58" s="18" t="s">
        <v>609</v>
      </c>
      <c r="X58" s="18" t="b">
        <v>1</v>
      </c>
      <c r="Y58" s="18" t="s">
        <v>605</v>
      </c>
      <c r="Z58" s="18" t="s">
        <v>605</v>
      </c>
      <c r="AA58" s="18" t="s">
        <v>198</v>
      </c>
      <c r="AB58" s="18" t="s">
        <v>610</v>
      </c>
    </row>
    <row r="59" spans="1:28" s="17" customFormat="1" ht="12" customHeight="1">
      <c r="A59" s="17">
        <v>67</v>
      </c>
      <c r="B59" s="16" t="s">
        <v>1250</v>
      </c>
      <c r="C59" s="18" t="s">
        <v>616</v>
      </c>
      <c r="D59" s="18" t="s">
        <v>611</v>
      </c>
      <c r="E59" s="18" t="s">
        <v>612</v>
      </c>
      <c r="F59" s="18" t="s">
        <v>92</v>
      </c>
      <c r="G59" s="18" t="s">
        <v>613</v>
      </c>
      <c r="H59" s="18" t="s">
        <v>613</v>
      </c>
      <c r="I59" s="18" t="s">
        <v>614</v>
      </c>
      <c r="J59" s="18" t="s">
        <v>271</v>
      </c>
      <c r="K59" s="20">
        <v>45659</v>
      </c>
      <c r="L59" s="18" t="s">
        <v>615</v>
      </c>
      <c r="N59" s="18" t="s">
        <v>614</v>
      </c>
      <c r="O59" s="18" t="s">
        <v>617</v>
      </c>
      <c r="P59" s="18" t="s">
        <v>618</v>
      </c>
      <c r="Q59" s="18" t="s">
        <v>619</v>
      </c>
      <c r="R59" s="18" t="s">
        <v>617</v>
      </c>
      <c r="U59" s="18" t="s">
        <v>616</v>
      </c>
      <c r="V59" s="18" t="s">
        <v>616</v>
      </c>
      <c r="W59" s="18" t="s">
        <v>620</v>
      </c>
      <c r="X59" s="18" t="b">
        <v>1</v>
      </c>
      <c r="Y59" s="18" t="s">
        <v>616</v>
      </c>
      <c r="Z59" s="18" t="s">
        <v>616</v>
      </c>
      <c r="AA59" s="18" t="s">
        <v>37</v>
      </c>
      <c r="AB59" s="18" t="s">
        <v>621</v>
      </c>
    </row>
    <row r="60" spans="1:28" s="17" customFormat="1" ht="12" customHeight="1">
      <c r="A60" s="17">
        <v>68</v>
      </c>
      <c r="B60" s="16" t="s">
        <v>1250</v>
      </c>
      <c r="C60" s="18" t="s">
        <v>625</v>
      </c>
      <c r="E60" s="18" t="s">
        <v>622</v>
      </c>
      <c r="F60" s="18" t="s">
        <v>92</v>
      </c>
      <c r="G60" s="18" t="s">
        <v>613</v>
      </c>
      <c r="H60" s="18" t="s">
        <v>613</v>
      </c>
      <c r="I60" s="18" t="s">
        <v>623</v>
      </c>
      <c r="J60" s="18" t="s">
        <v>271</v>
      </c>
      <c r="K60" s="20">
        <v>45779</v>
      </c>
      <c r="L60" s="18" t="s">
        <v>624</v>
      </c>
      <c r="N60" s="18" t="s">
        <v>623</v>
      </c>
      <c r="O60" s="18" t="s">
        <v>626</v>
      </c>
      <c r="P60" s="18" t="s">
        <v>627</v>
      </c>
      <c r="Q60" s="18" t="s">
        <v>132</v>
      </c>
      <c r="R60" s="18" t="s">
        <v>626</v>
      </c>
      <c r="U60" s="18" t="s">
        <v>625</v>
      </c>
      <c r="V60" s="18" t="s">
        <v>625</v>
      </c>
      <c r="W60" s="18" t="s">
        <v>628</v>
      </c>
      <c r="X60" s="18" t="b">
        <v>1</v>
      </c>
      <c r="Y60" s="18" t="s">
        <v>625</v>
      </c>
      <c r="Z60" s="18" t="s">
        <v>625</v>
      </c>
      <c r="AA60" s="18" t="s">
        <v>37</v>
      </c>
      <c r="AB60" s="18" t="s">
        <v>629</v>
      </c>
    </row>
    <row r="61" spans="1:28" s="17" customFormat="1" ht="12" customHeight="1">
      <c r="A61" s="17">
        <v>69</v>
      </c>
      <c r="B61" s="16" t="s">
        <v>1250</v>
      </c>
      <c r="C61" s="18" t="s">
        <v>633</v>
      </c>
      <c r="E61" s="18" t="s">
        <v>630</v>
      </c>
      <c r="F61" s="18" t="s">
        <v>28</v>
      </c>
      <c r="G61" s="18" t="s">
        <v>613</v>
      </c>
      <c r="H61" s="18" t="s">
        <v>613</v>
      </c>
      <c r="I61" s="18" t="s">
        <v>631</v>
      </c>
      <c r="J61" s="18" t="s">
        <v>271</v>
      </c>
      <c r="K61" s="20">
        <v>45839</v>
      </c>
      <c r="L61" s="18" t="s">
        <v>632</v>
      </c>
      <c r="N61" s="18" t="s">
        <v>631</v>
      </c>
      <c r="O61" s="18" t="s">
        <v>634</v>
      </c>
      <c r="Q61" s="18" t="s">
        <v>276</v>
      </c>
      <c r="R61" s="18" t="s">
        <v>634</v>
      </c>
      <c r="U61" s="18" t="s">
        <v>633</v>
      </c>
      <c r="V61" s="18" t="s">
        <v>633</v>
      </c>
      <c r="W61" s="18" t="s">
        <v>635</v>
      </c>
      <c r="X61" s="18" t="b">
        <v>1</v>
      </c>
      <c r="Y61" s="18" t="s">
        <v>633</v>
      </c>
      <c r="Z61" s="18" t="s">
        <v>633</v>
      </c>
      <c r="AA61" s="18" t="s">
        <v>37</v>
      </c>
      <c r="AB61" s="18" t="s">
        <v>636</v>
      </c>
    </row>
    <row r="62" spans="1:28" s="17" customFormat="1" ht="12" customHeight="1">
      <c r="A62" s="17">
        <v>70</v>
      </c>
      <c r="B62" s="16" t="s">
        <v>1250</v>
      </c>
      <c r="C62" s="18" t="s">
        <v>642</v>
      </c>
      <c r="D62" s="18" t="s">
        <v>637</v>
      </c>
      <c r="E62" s="18" t="s">
        <v>638</v>
      </c>
      <c r="F62" s="18" t="s">
        <v>639</v>
      </c>
      <c r="G62" s="18" t="s">
        <v>1241</v>
      </c>
      <c r="H62" s="18" t="s">
        <v>640</v>
      </c>
      <c r="I62" s="18" t="s">
        <v>44</v>
      </c>
      <c r="J62" s="18" t="s">
        <v>271</v>
      </c>
      <c r="K62" s="20">
        <v>45718</v>
      </c>
      <c r="L62" s="18" t="s">
        <v>641</v>
      </c>
      <c r="N62" s="18" t="s">
        <v>44</v>
      </c>
      <c r="O62" s="18" t="s">
        <v>45</v>
      </c>
      <c r="P62" s="18" t="s">
        <v>46</v>
      </c>
      <c r="Q62" s="18" t="s">
        <v>47</v>
      </c>
      <c r="R62" s="18" t="s">
        <v>45</v>
      </c>
      <c r="U62" s="18" t="s">
        <v>642</v>
      </c>
      <c r="V62" s="18" t="s">
        <v>642</v>
      </c>
      <c r="W62" s="18" t="s">
        <v>643</v>
      </c>
      <c r="X62" s="18" t="b">
        <v>1</v>
      </c>
      <c r="Y62" s="18" t="s">
        <v>644</v>
      </c>
      <c r="Z62" s="18" t="s">
        <v>645</v>
      </c>
      <c r="AA62" s="18" t="s">
        <v>646</v>
      </c>
      <c r="AB62" s="18" t="s">
        <v>647</v>
      </c>
    </row>
    <row r="63" spans="1:28" s="17" customFormat="1" ht="12" customHeight="1">
      <c r="A63" s="17">
        <v>71</v>
      </c>
      <c r="B63" s="16" t="s">
        <v>1250</v>
      </c>
      <c r="C63" s="18" t="s">
        <v>651</v>
      </c>
      <c r="D63" s="18" t="s">
        <v>648</v>
      </c>
      <c r="E63" s="18" t="s">
        <v>41</v>
      </c>
      <c r="F63" s="18" t="s">
        <v>42</v>
      </c>
      <c r="G63" s="18" t="s">
        <v>1241</v>
      </c>
      <c r="H63" s="18" t="s">
        <v>640</v>
      </c>
      <c r="I63" s="18" t="s">
        <v>649</v>
      </c>
      <c r="J63" s="18" t="s">
        <v>271</v>
      </c>
      <c r="K63" s="20">
        <v>45718</v>
      </c>
      <c r="L63" s="18" t="s">
        <v>650</v>
      </c>
      <c r="N63" s="18" t="s">
        <v>649</v>
      </c>
      <c r="O63" s="18" t="s">
        <v>652</v>
      </c>
      <c r="P63" s="18" t="s">
        <v>653</v>
      </c>
      <c r="Q63" s="18" t="s">
        <v>104</v>
      </c>
      <c r="R63" s="18" t="s">
        <v>652</v>
      </c>
      <c r="U63" s="18" t="s">
        <v>651</v>
      </c>
      <c r="V63" s="18" t="s">
        <v>651</v>
      </c>
      <c r="W63" s="18" t="s">
        <v>654</v>
      </c>
      <c r="X63" s="18" t="b">
        <v>1</v>
      </c>
      <c r="Y63" s="18" t="s">
        <v>648</v>
      </c>
      <c r="Z63" s="18" t="s">
        <v>648</v>
      </c>
      <c r="AA63" s="18" t="s">
        <v>646</v>
      </c>
      <c r="AB63" s="18" t="s">
        <v>655</v>
      </c>
    </row>
    <row r="64" spans="1:28" s="17" customFormat="1" ht="12" customHeight="1">
      <c r="A64" s="17">
        <v>72</v>
      </c>
      <c r="B64" s="16" t="s">
        <v>1250</v>
      </c>
      <c r="C64" s="18" t="s">
        <v>661</v>
      </c>
      <c r="D64" s="18" t="s">
        <v>656</v>
      </c>
      <c r="E64" s="18" t="s">
        <v>657</v>
      </c>
      <c r="F64" s="18" t="s">
        <v>42</v>
      </c>
      <c r="G64" s="18" t="s">
        <v>1241</v>
      </c>
      <c r="H64" s="18" t="s">
        <v>658</v>
      </c>
      <c r="I64" s="18" t="s">
        <v>659</v>
      </c>
      <c r="J64" s="18" t="s">
        <v>271</v>
      </c>
      <c r="K64" s="20">
        <v>45810</v>
      </c>
      <c r="L64" s="18" t="s">
        <v>660</v>
      </c>
      <c r="N64" s="18" t="s">
        <v>659</v>
      </c>
      <c r="O64" s="18" t="s">
        <v>662</v>
      </c>
      <c r="P64" s="18" t="s">
        <v>663</v>
      </c>
      <c r="Q64" s="18" t="s">
        <v>664</v>
      </c>
      <c r="R64" s="18" t="s">
        <v>662</v>
      </c>
      <c r="U64" s="18" t="s">
        <v>661</v>
      </c>
      <c r="V64" s="18" t="s">
        <v>661</v>
      </c>
      <c r="W64" s="18" t="s">
        <v>665</v>
      </c>
      <c r="X64" s="18" t="b">
        <v>1</v>
      </c>
      <c r="Y64" s="18" t="s">
        <v>656</v>
      </c>
      <c r="Z64" s="18" t="s">
        <v>656</v>
      </c>
      <c r="AA64" s="18" t="s">
        <v>666</v>
      </c>
      <c r="AB64" s="18" t="s">
        <v>667</v>
      </c>
    </row>
    <row r="65" spans="1:28" s="17" customFormat="1" ht="12" customHeight="1">
      <c r="A65" s="17">
        <v>73</v>
      </c>
      <c r="B65" s="16" t="s">
        <v>1250</v>
      </c>
      <c r="C65" s="18" t="s">
        <v>672</v>
      </c>
      <c r="E65" s="18" t="s">
        <v>668</v>
      </c>
      <c r="F65" s="18" t="s">
        <v>429</v>
      </c>
      <c r="G65" s="18" t="s">
        <v>1241</v>
      </c>
      <c r="H65" s="18" t="s">
        <v>669</v>
      </c>
      <c r="I65" s="18" t="s">
        <v>670</v>
      </c>
      <c r="J65" s="18" t="s">
        <v>271</v>
      </c>
      <c r="K65" s="20">
        <v>45748</v>
      </c>
      <c r="L65" s="18" t="s">
        <v>671</v>
      </c>
      <c r="N65" s="18" t="s">
        <v>670</v>
      </c>
      <c r="O65" s="18" t="s">
        <v>673</v>
      </c>
      <c r="P65" s="18" t="s">
        <v>674</v>
      </c>
      <c r="Q65" s="18" t="s">
        <v>276</v>
      </c>
      <c r="R65" s="18" t="s">
        <v>673</v>
      </c>
      <c r="U65" s="18" t="s">
        <v>672</v>
      </c>
      <c r="V65" s="18" t="s">
        <v>672</v>
      </c>
      <c r="W65" s="18" t="s">
        <v>675</v>
      </c>
      <c r="X65" s="18" t="b">
        <v>1</v>
      </c>
      <c r="Y65" s="18" t="s">
        <v>672</v>
      </c>
      <c r="Z65" s="18" t="s">
        <v>672</v>
      </c>
      <c r="AA65" s="18" t="s">
        <v>646</v>
      </c>
      <c r="AB65" s="18" t="s">
        <v>676</v>
      </c>
    </row>
    <row r="66" spans="1:28" s="17" customFormat="1" ht="12" customHeight="1">
      <c r="A66" s="17">
        <v>74</v>
      </c>
      <c r="B66" s="16" t="s">
        <v>1250</v>
      </c>
      <c r="C66" s="18" t="s">
        <v>679</v>
      </c>
      <c r="E66" s="18" t="s">
        <v>677</v>
      </c>
      <c r="F66" s="18" t="s">
        <v>42</v>
      </c>
      <c r="G66" s="18" t="s">
        <v>1241</v>
      </c>
      <c r="H66" s="18" t="s">
        <v>640</v>
      </c>
      <c r="I66" s="18" t="s">
        <v>1243</v>
      </c>
      <c r="J66" s="18" t="s">
        <v>402</v>
      </c>
      <c r="L66" s="18" t="s">
        <v>678</v>
      </c>
      <c r="R66" s="18" t="s">
        <v>1266</v>
      </c>
      <c r="U66" s="18" t="s">
        <v>679</v>
      </c>
      <c r="V66" s="18" t="s">
        <v>679</v>
      </c>
      <c r="W66" s="18" t="s">
        <v>680</v>
      </c>
      <c r="X66" s="18" t="b">
        <v>0</v>
      </c>
      <c r="Y66" s="18" t="s">
        <v>679</v>
      </c>
      <c r="Z66" s="18" t="s">
        <v>679</v>
      </c>
      <c r="AA66" s="18" t="s">
        <v>646</v>
      </c>
      <c r="AB66" s="18" t="s">
        <v>681</v>
      </c>
    </row>
    <row r="67" spans="1:28" s="17" customFormat="1" ht="12" customHeight="1">
      <c r="A67" s="17">
        <v>75</v>
      </c>
      <c r="B67" s="16" t="s">
        <v>1250</v>
      </c>
      <c r="C67" s="18" t="s">
        <v>684</v>
      </c>
      <c r="E67" s="18" t="s">
        <v>682</v>
      </c>
      <c r="F67" s="18" t="s">
        <v>42</v>
      </c>
      <c r="G67" s="18" t="s">
        <v>1241</v>
      </c>
      <c r="H67" s="18" t="s">
        <v>640</v>
      </c>
      <c r="I67" s="18" t="s">
        <v>1243</v>
      </c>
      <c r="J67" s="18" t="s">
        <v>402</v>
      </c>
      <c r="L67" s="18" t="s">
        <v>683</v>
      </c>
      <c r="R67" s="18" t="s">
        <v>1267</v>
      </c>
      <c r="U67" s="18" t="s">
        <v>684</v>
      </c>
      <c r="V67" s="18" t="s">
        <v>684</v>
      </c>
      <c r="W67" s="18" t="s">
        <v>685</v>
      </c>
      <c r="X67" s="18" t="b">
        <v>0</v>
      </c>
      <c r="Y67" s="18" t="s">
        <v>684</v>
      </c>
      <c r="Z67" s="18" t="s">
        <v>684</v>
      </c>
      <c r="AA67" s="18" t="s">
        <v>646</v>
      </c>
      <c r="AB67" s="18" t="s">
        <v>686</v>
      </c>
    </row>
    <row r="68" spans="1:28" s="17" customFormat="1" ht="12" customHeight="1">
      <c r="A68" s="17">
        <v>76</v>
      </c>
      <c r="B68" s="16" t="s">
        <v>1250</v>
      </c>
      <c r="C68" s="18" t="s">
        <v>688</v>
      </c>
      <c r="E68" s="18" t="s">
        <v>687</v>
      </c>
      <c r="F68" s="18" t="s">
        <v>42</v>
      </c>
      <c r="G68" s="18" t="s">
        <v>1241</v>
      </c>
      <c r="H68" s="18" t="s">
        <v>1140</v>
      </c>
      <c r="I68" s="18" t="s">
        <v>1243</v>
      </c>
      <c r="J68" s="18" t="s">
        <v>402</v>
      </c>
      <c r="L68" s="18" t="s">
        <v>683</v>
      </c>
      <c r="R68" s="18" t="s">
        <v>1268</v>
      </c>
      <c r="U68" s="18" t="s">
        <v>688</v>
      </c>
      <c r="V68" s="18" t="s">
        <v>688</v>
      </c>
      <c r="W68" s="18" t="s">
        <v>689</v>
      </c>
      <c r="X68" s="18" t="b">
        <v>0</v>
      </c>
      <c r="Y68" s="18" t="s">
        <v>688</v>
      </c>
      <c r="Z68" s="18" t="s">
        <v>688</v>
      </c>
      <c r="AA68" s="18" t="s">
        <v>646</v>
      </c>
      <c r="AB68" s="18" t="s">
        <v>690</v>
      </c>
    </row>
    <row r="69" spans="1:28" s="17" customFormat="1" ht="12" customHeight="1">
      <c r="A69" s="17">
        <v>77</v>
      </c>
      <c r="B69" s="16" t="s">
        <v>1250</v>
      </c>
      <c r="C69" s="18" t="s">
        <v>691</v>
      </c>
      <c r="F69" s="18" t="s">
        <v>639</v>
      </c>
      <c r="G69" s="18" t="s">
        <v>1241</v>
      </c>
      <c r="H69" s="18" t="s">
        <v>640</v>
      </c>
      <c r="I69" s="18" t="s">
        <v>1243</v>
      </c>
      <c r="J69" s="18" t="s">
        <v>402</v>
      </c>
      <c r="L69" s="18" t="s">
        <v>683</v>
      </c>
      <c r="R69" s="18" t="s">
        <v>1269</v>
      </c>
      <c r="U69" s="18" t="s">
        <v>691</v>
      </c>
      <c r="V69" s="18" t="s">
        <v>691</v>
      </c>
      <c r="W69" s="18" t="s">
        <v>692</v>
      </c>
      <c r="X69" s="18" t="b">
        <v>0</v>
      </c>
      <c r="Y69" s="18" t="s">
        <v>691</v>
      </c>
      <c r="Z69" s="18" t="s">
        <v>691</v>
      </c>
      <c r="AA69" s="18" t="s">
        <v>646</v>
      </c>
      <c r="AB69" s="18" t="s">
        <v>693</v>
      </c>
    </row>
    <row r="70" spans="1:28" s="17" customFormat="1" ht="12" customHeight="1">
      <c r="A70" s="17">
        <v>78</v>
      </c>
      <c r="B70" s="16" t="s">
        <v>1250</v>
      </c>
      <c r="C70" s="18" t="s">
        <v>694</v>
      </c>
      <c r="F70" s="18" t="s">
        <v>639</v>
      </c>
      <c r="G70" s="18" t="s">
        <v>1241</v>
      </c>
      <c r="H70" s="18" t="s">
        <v>640</v>
      </c>
      <c r="I70" s="18" t="s">
        <v>1243</v>
      </c>
      <c r="J70" s="18" t="s">
        <v>402</v>
      </c>
      <c r="L70" s="18" t="s">
        <v>683</v>
      </c>
      <c r="R70" s="18" t="s">
        <v>1270</v>
      </c>
      <c r="U70" s="18" t="s">
        <v>694</v>
      </c>
      <c r="V70" s="18" t="s">
        <v>694</v>
      </c>
      <c r="W70" s="18" t="s">
        <v>695</v>
      </c>
      <c r="X70" s="18" t="b">
        <v>0</v>
      </c>
      <c r="Y70" s="18" t="s">
        <v>694</v>
      </c>
      <c r="Z70" s="18" t="s">
        <v>694</v>
      </c>
      <c r="AA70" s="18" t="s">
        <v>646</v>
      </c>
      <c r="AB70" s="18" t="s">
        <v>696</v>
      </c>
    </row>
    <row r="71" spans="1:28" s="17" customFormat="1" ht="12" customHeight="1">
      <c r="A71" s="17">
        <v>79</v>
      </c>
      <c r="B71" s="16" t="s">
        <v>1250</v>
      </c>
      <c r="C71" s="18" t="s">
        <v>697</v>
      </c>
      <c r="E71" s="18" t="s">
        <v>657</v>
      </c>
      <c r="F71" s="18" t="s">
        <v>42</v>
      </c>
      <c r="G71" s="18" t="s">
        <v>1241</v>
      </c>
      <c r="H71" s="18" t="s">
        <v>640</v>
      </c>
      <c r="I71" s="18" t="s">
        <v>1243</v>
      </c>
      <c r="J71" s="18" t="s">
        <v>402</v>
      </c>
      <c r="L71" s="18" t="s">
        <v>683</v>
      </c>
      <c r="R71" s="18" t="s">
        <v>1271</v>
      </c>
      <c r="U71" s="18" t="s">
        <v>697</v>
      </c>
      <c r="V71" s="18" t="s">
        <v>697</v>
      </c>
      <c r="W71" s="18" t="s">
        <v>698</v>
      </c>
      <c r="X71" s="18" t="b">
        <v>0</v>
      </c>
      <c r="Y71" s="18" t="s">
        <v>697</v>
      </c>
      <c r="Z71" s="18" t="s">
        <v>697</v>
      </c>
      <c r="AA71" s="18" t="s">
        <v>646</v>
      </c>
      <c r="AB71" s="18" t="s">
        <v>699</v>
      </c>
    </row>
    <row r="72" spans="1:28" s="17" customFormat="1" ht="12" customHeight="1">
      <c r="A72" s="17">
        <v>80</v>
      </c>
      <c r="B72" s="16" t="s">
        <v>1250</v>
      </c>
      <c r="C72" s="18" t="s">
        <v>704</v>
      </c>
      <c r="E72" s="18" t="s">
        <v>700</v>
      </c>
      <c r="F72" s="18" t="s">
        <v>42</v>
      </c>
      <c r="G72" s="18" t="s">
        <v>1241</v>
      </c>
      <c r="H72" s="18" t="s">
        <v>701</v>
      </c>
      <c r="I72" s="18" t="s">
        <v>702</v>
      </c>
      <c r="J72" s="18" t="s">
        <v>402</v>
      </c>
      <c r="K72" s="18" t="s">
        <v>354</v>
      </c>
      <c r="L72" s="18" t="s">
        <v>703</v>
      </c>
      <c r="N72" s="18" t="s">
        <v>702</v>
      </c>
      <c r="O72" s="18" t="s">
        <v>705</v>
      </c>
      <c r="Q72" s="18" t="s">
        <v>706</v>
      </c>
      <c r="R72" s="18" t="s">
        <v>705</v>
      </c>
      <c r="U72" s="18" t="s">
        <v>704</v>
      </c>
      <c r="V72" s="18" t="s">
        <v>704</v>
      </c>
      <c r="W72" s="18" t="s">
        <v>707</v>
      </c>
      <c r="X72" s="18" t="b">
        <v>1</v>
      </c>
      <c r="Y72" s="18" t="s">
        <v>704</v>
      </c>
      <c r="Z72" s="18" t="s">
        <v>704</v>
      </c>
      <c r="AA72" s="18" t="s">
        <v>708</v>
      </c>
      <c r="AB72" s="18" t="s">
        <v>709</v>
      </c>
    </row>
    <row r="73" spans="1:28" s="17" customFormat="1" ht="12" customHeight="1">
      <c r="A73" s="17">
        <v>81</v>
      </c>
      <c r="B73" s="16" t="s">
        <v>1250</v>
      </c>
      <c r="C73" s="18" t="s">
        <v>711</v>
      </c>
      <c r="F73" s="18" t="s">
        <v>42</v>
      </c>
      <c r="G73" s="18" t="s">
        <v>1241</v>
      </c>
      <c r="H73" s="18" t="s">
        <v>710</v>
      </c>
      <c r="I73" s="18" t="s">
        <v>1243</v>
      </c>
      <c r="J73" s="18" t="s">
        <v>402</v>
      </c>
      <c r="L73" s="18" t="s">
        <v>683</v>
      </c>
      <c r="R73" s="17" t="s">
        <v>1275</v>
      </c>
      <c r="U73" s="18" t="s">
        <v>711</v>
      </c>
      <c r="V73" s="18" t="s">
        <v>711</v>
      </c>
      <c r="W73" s="18" t="s">
        <v>712</v>
      </c>
      <c r="X73" s="18" t="b">
        <v>0</v>
      </c>
      <c r="Y73" s="18" t="s">
        <v>711</v>
      </c>
      <c r="Z73" s="18" t="s">
        <v>711</v>
      </c>
      <c r="AA73" s="18" t="s">
        <v>50</v>
      </c>
      <c r="AB73" s="18" t="s">
        <v>713</v>
      </c>
    </row>
    <row r="74" spans="1:28" s="17" customFormat="1" ht="12" customHeight="1">
      <c r="A74" s="17">
        <v>82</v>
      </c>
      <c r="B74" s="16" t="s">
        <v>1250</v>
      </c>
      <c r="C74" s="18" t="s">
        <v>717</v>
      </c>
      <c r="E74" s="18" t="s">
        <v>82</v>
      </c>
      <c r="F74" s="18" t="s">
        <v>42</v>
      </c>
      <c r="G74" s="18" t="s">
        <v>1241</v>
      </c>
      <c r="H74" s="18" t="s">
        <v>714</v>
      </c>
      <c r="I74" s="18" t="s">
        <v>715</v>
      </c>
      <c r="J74" s="18" t="s">
        <v>402</v>
      </c>
      <c r="K74" s="20">
        <v>45902</v>
      </c>
      <c r="L74" s="18" t="s">
        <v>716</v>
      </c>
      <c r="N74" s="18" t="s">
        <v>715</v>
      </c>
      <c r="O74" s="18" t="s">
        <v>718</v>
      </c>
      <c r="P74" s="18" t="s">
        <v>719</v>
      </c>
      <c r="Q74" s="18" t="s">
        <v>306</v>
      </c>
      <c r="R74" s="18" t="s">
        <v>718</v>
      </c>
      <c r="U74" s="18" t="s">
        <v>717</v>
      </c>
      <c r="V74" s="18" t="s">
        <v>717</v>
      </c>
      <c r="W74" s="18" t="s">
        <v>720</v>
      </c>
      <c r="X74" s="18" t="b">
        <v>1</v>
      </c>
      <c r="Y74" s="18" t="s">
        <v>717</v>
      </c>
      <c r="Z74" s="18" t="s">
        <v>717</v>
      </c>
      <c r="AA74" s="18" t="s">
        <v>708</v>
      </c>
      <c r="AB74" s="18" t="s">
        <v>721</v>
      </c>
    </row>
    <row r="75" spans="1:28" s="17" customFormat="1" ht="12" customHeight="1">
      <c r="A75" s="17">
        <v>83</v>
      </c>
      <c r="B75" s="16" t="s">
        <v>1250</v>
      </c>
      <c r="C75" s="18" t="s">
        <v>723</v>
      </c>
      <c r="E75" s="18" t="s">
        <v>82</v>
      </c>
      <c r="F75" s="18" t="s">
        <v>42</v>
      </c>
      <c r="G75" s="18" t="s">
        <v>1241</v>
      </c>
      <c r="H75" s="18" t="s">
        <v>714</v>
      </c>
      <c r="I75" s="18" t="s">
        <v>722</v>
      </c>
      <c r="J75" s="18" t="s">
        <v>402</v>
      </c>
      <c r="K75" s="20">
        <v>45840</v>
      </c>
      <c r="L75" s="18" t="s">
        <v>716</v>
      </c>
      <c r="N75" s="18" t="s">
        <v>722</v>
      </c>
      <c r="O75" s="18" t="s">
        <v>724</v>
      </c>
      <c r="P75" s="18" t="s">
        <v>725</v>
      </c>
      <c r="Q75" s="18" t="s">
        <v>608</v>
      </c>
      <c r="R75" s="18" t="s">
        <v>724</v>
      </c>
      <c r="U75" s="18" t="s">
        <v>723</v>
      </c>
      <c r="V75" s="18" t="s">
        <v>723</v>
      </c>
      <c r="W75" s="18" t="s">
        <v>726</v>
      </c>
      <c r="X75" s="18" t="b">
        <v>1</v>
      </c>
      <c r="Y75" s="18" t="s">
        <v>723</v>
      </c>
      <c r="Z75" s="18" t="s">
        <v>723</v>
      </c>
      <c r="AA75" s="18" t="s">
        <v>708</v>
      </c>
      <c r="AB75" s="18" t="s">
        <v>727</v>
      </c>
    </row>
    <row r="76" spans="1:28" s="17" customFormat="1" ht="12" customHeight="1">
      <c r="A76" s="17">
        <v>84</v>
      </c>
      <c r="B76" s="16" t="s">
        <v>1250</v>
      </c>
      <c r="C76" s="18" t="s">
        <v>732</v>
      </c>
      <c r="E76" s="18" t="s">
        <v>728</v>
      </c>
      <c r="F76" s="18" t="s">
        <v>42</v>
      </c>
      <c r="G76" s="18" t="s">
        <v>1241</v>
      </c>
      <c r="H76" s="18" t="s">
        <v>729</v>
      </c>
      <c r="I76" s="18" t="s">
        <v>730</v>
      </c>
      <c r="J76" s="18" t="s">
        <v>402</v>
      </c>
      <c r="K76" s="20">
        <v>45871</v>
      </c>
      <c r="L76" s="18" t="s">
        <v>731</v>
      </c>
      <c r="N76" s="18" t="s">
        <v>730</v>
      </c>
      <c r="O76" s="18" t="s">
        <v>733</v>
      </c>
      <c r="Q76" s="18" t="s">
        <v>306</v>
      </c>
      <c r="R76" s="18" t="s">
        <v>733</v>
      </c>
      <c r="U76" s="18" t="s">
        <v>732</v>
      </c>
      <c r="V76" s="18" t="s">
        <v>732</v>
      </c>
      <c r="W76" s="18" t="s">
        <v>734</v>
      </c>
      <c r="X76" s="18" t="b">
        <v>1</v>
      </c>
      <c r="Y76" s="18" t="s">
        <v>732</v>
      </c>
      <c r="Z76" s="18" t="s">
        <v>732</v>
      </c>
      <c r="AA76" s="18" t="s">
        <v>50</v>
      </c>
      <c r="AB76" s="18" t="s">
        <v>735</v>
      </c>
    </row>
    <row r="77" spans="1:28" s="17" customFormat="1" ht="12" customHeight="1">
      <c r="A77" s="17">
        <v>85</v>
      </c>
      <c r="B77" s="16" t="s">
        <v>1250</v>
      </c>
      <c r="C77" s="18" t="s">
        <v>739</v>
      </c>
      <c r="E77" s="18" t="s">
        <v>728</v>
      </c>
      <c r="F77" s="18" t="s">
        <v>42</v>
      </c>
      <c r="G77" s="18" t="s">
        <v>1241</v>
      </c>
      <c r="H77" s="18" t="s">
        <v>736</v>
      </c>
      <c r="I77" s="18" t="s">
        <v>737</v>
      </c>
      <c r="J77" s="18" t="s">
        <v>402</v>
      </c>
      <c r="K77" s="20">
        <v>45810</v>
      </c>
      <c r="L77" s="18" t="s">
        <v>738</v>
      </c>
      <c r="N77" s="18" t="s">
        <v>737</v>
      </c>
      <c r="O77" s="18" t="s">
        <v>740</v>
      </c>
      <c r="Q77" s="18" t="s">
        <v>492</v>
      </c>
      <c r="R77" s="18" t="s">
        <v>740</v>
      </c>
      <c r="U77" s="18" t="s">
        <v>739</v>
      </c>
      <c r="V77" s="18" t="s">
        <v>739</v>
      </c>
      <c r="W77" s="18" t="s">
        <v>741</v>
      </c>
      <c r="X77" s="18" t="b">
        <v>1</v>
      </c>
      <c r="Y77" s="18" t="s">
        <v>739</v>
      </c>
      <c r="Z77" s="18" t="s">
        <v>739</v>
      </c>
      <c r="AA77" s="18" t="s">
        <v>742</v>
      </c>
      <c r="AB77" s="18" t="s">
        <v>743</v>
      </c>
    </row>
    <row r="78" spans="1:28" s="17" customFormat="1" ht="12" customHeight="1">
      <c r="A78" s="17">
        <v>86</v>
      </c>
      <c r="B78" s="16" t="s">
        <v>1250</v>
      </c>
      <c r="C78" s="18" t="s">
        <v>745</v>
      </c>
      <c r="E78" s="18" t="s">
        <v>728</v>
      </c>
      <c r="F78" s="18" t="s">
        <v>42</v>
      </c>
      <c r="G78" s="18" t="s">
        <v>1241</v>
      </c>
      <c r="H78" s="18" t="s">
        <v>736</v>
      </c>
      <c r="I78" s="18" t="s">
        <v>744</v>
      </c>
      <c r="J78" s="18" t="s">
        <v>402</v>
      </c>
      <c r="K78" s="20">
        <v>45779</v>
      </c>
      <c r="L78" s="18" t="s">
        <v>738</v>
      </c>
      <c r="N78" s="18" t="s">
        <v>744</v>
      </c>
      <c r="O78" s="18" t="s">
        <v>746</v>
      </c>
      <c r="Q78" s="18" t="s">
        <v>545</v>
      </c>
      <c r="R78" s="18" t="s">
        <v>746</v>
      </c>
      <c r="U78" s="18" t="s">
        <v>745</v>
      </c>
      <c r="V78" s="18" t="s">
        <v>745</v>
      </c>
      <c r="W78" s="18" t="s">
        <v>747</v>
      </c>
      <c r="X78" s="18" t="b">
        <v>1</v>
      </c>
      <c r="Y78" s="18" t="s">
        <v>745</v>
      </c>
      <c r="Z78" s="18" t="s">
        <v>745</v>
      </c>
      <c r="AA78" s="18" t="s">
        <v>742</v>
      </c>
      <c r="AB78" s="18" t="s">
        <v>748</v>
      </c>
    </row>
    <row r="79" spans="1:28" s="17" customFormat="1" ht="12" customHeight="1">
      <c r="A79" s="17">
        <v>87</v>
      </c>
      <c r="B79" s="16" t="s">
        <v>1250</v>
      </c>
      <c r="C79" s="18" t="s">
        <v>752</v>
      </c>
      <c r="E79" s="18" t="s">
        <v>749</v>
      </c>
      <c r="F79" s="18" t="s">
        <v>42</v>
      </c>
      <c r="G79" s="18" t="s">
        <v>1241</v>
      </c>
      <c r="H79" s="18" t="s">
        <v>736</v>
      </c>
      <c r="I79" s="18" t="s">
        <v>750</v>
      </c>
      <c r="J79" s="18" t="s">
        <v>402</v>
      </c>
      <c r="K79" s="20">
        <v>45840</v>
      </c>
      <c r="L79" s="18" t="s">
        <v>751</v>
      </c>
      <c r="N79" s="18" t="s">
        <v>750</v>
      </c>
      <c r="O79" s="18" t="s">
        <v>753</v>
      </c>
      <c r="Q79" s="18" t="s">
        <v>754</v>
      </c>
      <c r="R79" s="18" t="s">
        <v>753</v>
      </c>
      <c r="U79" s="18" t="s">
        <v>752</v>
      </c>
      <c r="V79" s="18" t="s">
        <v>752</v>
      </c>
      <c r="W79" s="18" t="s">
        <v>755</v>
      </c>
      <c r="X79" s="18" t="b">
        <v>1</v>
      </c>
      <c r="Y79" s="18" t="s">
        <v>752</v>
      </c>
      <c r="Z79" s="18" t="s">
        <v>752</v>
      </c>
      <c r="AA79" s="18" t="s">
        <v>742</v>
      </c>
      <c r="AB79" s="18" t="s">
        <v>756</v>
      </c>
    </row>
    <row r="80" spans="1:28" s="17" customFormat="1" ht="12" customHeight="1">
      <c r="A80" s="17">
        <v>88</v>
      </c>
      <c r="B80" s="16" t="s">
        <v>1250</v>
      </c>
      <c r="C80" s="18" t="s">
        <v>761</v>
      </c>
      <c r="E80" s="18" t="s">
        <v>757</v>
      </c>
      <c r="F80" s="18" t="s">
        <v>42</v>
      </c>
      <c r="G80" s="18" t="s">
        <v>1247</v>
      </c>
      <c r="H80" s="18" t="s">
        <v>758</v>
      </c>
      <c r="I80" s="18" t="s">
        <v>759</v>
      </c>
      <c r="J80" s="18" t="s">
        <v>271</v>
      </c>
      <c r="K80" s="20">
        <v>45902</v>
      </c>
      <c r="L80" s="18" t="s">
        <v>760</v>
      </c>
      <c r="N80" s="18" t="s">
        <v>759</v>
      </c>
      <c r="O80" s="18" t="s">
        <v>762</v>
      </c>
      <c r="P80" s="18" t="s">
        <v>763</v>
      </c>
      <c r="Q80" s="18" t="s">
        <v>764</v>
      </c>
      <c r="R80" s="18" t="s">
        <v>762</v>
      </c>
      <c r="U80" s="18" t="s">
        <v>761</v>
      </c>
      <c r="V80" s="18" t="s">
        <v>761</v>
      </c>
      <c r="W80" s="18" t="s">
        <v>765</v>
      </c>
      <c r="X80" s="18" t="b">
        <v>1</v>
      </c>
      <c r="Y80" s="18" t="s">
        <v>761</v>
      </c>
      <c r="Z80" s="18" t="s">
        <v>761</v>
      </c>
      <c r="AA80" s="18" t="s">
        <v>766</v>
      </c>
      <c r="AB80" s="18" t="s">
        <v>767</v>
      </c>
    </row>
    <row r="81" spans="1:28" s="17" customFormat="1" ht="12" customHeight="1">
      <c r="A81" s="17">
        <v>89</v>
      </c>
      <c r="B81" s="16" t="s">
        <v>1250</v>
      </c>
      <c r="C81" s="18" t="s">
        <v>770</v>
      </c>
      <c r="F81" s="18" t="s">
        <v>639</v>
      </c>
      <c r="G81" s="18" t="s">
        <v>1247</v>
      </c>
      <c r="H81" s="18" t="s">
        <v>758</v>
      </c>
      <c r="I81" s="18" t="s">
        <v>768</v>
      </c>
      <c r="J81" s="18" t="s">
        <v>271</v>
      </c>
      <c r="K81" s="20">
        <v>45902</v>
      </c>
      <c r="L81" s="18" t="s">
        <v>769</v>
      </c>
      <c r="N81" s="18" t="s">
        <v>768</v>
      </c>
      <c r="O81" s="18"/>
      <c r="Q81" s="18" t="s">
        <v>772</v>
      </c>
      <c r="R81" s="18" t="s">
        <v>771</v>
      </c>
      <c r="U81" s="18" t="s">
        <v>770</v>
      </c>
      <c r="V81" s="18" t="s">
        <v>773</v>
      </c>
      <c r="W81" s="18" t="s">
        <v>774</v>
      </c>
      <c r="X81" s="18" t="b">
        <v>1</v>
      </c>
      <c r="Y81" s="18" t="s">
        <v>770</v>
      </c>
      <c r="Z81" s="18" t="s">
        <v>770</v>
      </c>
      <c r="AA81" s="18" t="s">
        <v>766</v>
      </c>
      <c r="AB81" s="18" t="s">
        <v>775</v>
      </c>
    </row>
    <row r="82" spans="1:28" s="17" customFormat="1" ht="12" customHeight="1">
      <c r="A82" s="17">
        <v>90</v>
      </c>
      <c r="B82" s="16" t="s">
        <v>1250</v>
      </c>
      <c r="C82" s="18" t="s">
        <v>776</v>
      </c>
      <c r="F82" s="18" t="s">
        <v>42</v>
      </c>
      <c r="G82" s="18" t="s">
        <v>1247</v>
      </c>
      <c r="H82" s="18" t="s">
        <v>758</v>
      </c>
      <c r="I82" s="18" t="s">
        <v>1243</v>
      </c>
      <c r="J82" s="18" t="s">
        <v>402</v>
      </c>
      <c r="L82" s="18" t="s">
        <v>683</v>
      </c>
      <c r="O82" s="18"/>
      <c r="R82" s="18" t="s">
        <v>1274</v>
      </c>
      <c r="U82" s="18" t="s">
        <v>776</v>
      </c>
      <c r="V82" s="18" t="s">
        <v>776</v>
      </c>
      <c r="W82" s="18" t="s">
        <v>777</v>
      </c>
      <c r="X82" s="18" t="b">
        <v>0</v>
      </c>
      <c r="Y82" s="18" t="s">
        <v>776</v>
      </c>
      <c r="Z82" s="18" t="s">
        <v>776</v>
      </c>
      <c r="AA82" s="18" t="s">
        <v>766</v>
      </c>
      <c r="AB82" s="18" t="s">
        <v>778</v>
      </c>
    </row>
    <row r="83" spans="1:28" s="17" customFormat="1" ht="12" customHeight="1">
      <c r="A83" s="17">
        <v>91</v>
      </c>
      <c r="B83" s="16" t="s">
        <v>1250</v>
      </c>
      <c r="C83" s="18" t="s">
        <v>779</v>
      </c>
      <c r="F83" s="18" t="s">
        <v>42</v>
      </c>
      <c r="G83" s="18" t="s">
        <v>1247</v>
      </c>
      <c r="H83" s="18" t="s">
        <v>758</v>
      </c>
      <c r="I83" s="18" t="s">
        <v>1243</v>
      </c>
      <c r="J83" s="18" t="s">
        <v>402</v>
      </c>
      <c r="L83" s="18" t="s">
        <v>683</v>
      </c>
      <c r="O83" s="18"/>
      <c r="R83" s="18" t="s">
        <v>1273</v>
      </c>
      <c r="U83" s="18" t="s">
        <v>779</v>
      </c>
      <c r="V83" s="18" t="s">
        <v>779</v>
      </c>
      <c r="W83" s="18" t="s">
        <v>780</v>
      </c>
      <c r="X83" s="18" t="b">
        <v>0</v>
      </c>
      <c r="Y83" s="18" t="s">
        <v>779</v>
      </c>
      <c r="Z83" s="18" t="s">
        <v>779</v>
      </c>
      <c r="AA83" s="18" t="s">
        <v>766</v>
      </c>
      <c r="AB83" s="18" t="s">
        <v>781</v>
      </c>
    </row>
    <row r="84" spans="1:28" s="17" customFormat="1" ht="12" customHeight="1">
      <c r="A84" s="17">
        <v>92</v>
      </c>
      <c r="B84" s="16" t="s">
        <v>1250</v>
      </c>
      <c r="C84" s="18" t="s">
        <v>783</v>
      </c>
      <c r="F84" s="18" t="s">
        <v>42</v>
      </c>
      <c r="G84" s="18" t="s">
        <v>782</v>
      </c>
      <c r="H84" s="18" t="s">
        <v>782</v>
      </c>
      <c r="I84" s="18" t="s">
        <v>1243</v>
      </c>
      <c r="J84" s="18" t="s">
        <v>402</v>
      </c>
      <c r="L84" s="18" t="s">
        <v>683</v>
      </c>
      <c r="R84" s="16" t="s">
        <v>1272</v>
      </c>
      <c r="U84" s="18" t="s">
        <v>783</v>
      </c>
      <c r="V84" s="18" t="s">
        <v>783</v>
      </c>
      <c r="W84" s="18" t="s">
        <v>784</v>
      </c>
      <c r="X84" s="18" t="b">
        <v>0</v>
      </c>
      <c r="Y84" s="18" t="s">
        <v>783</v>
      </c>
      <c r="Z84" s="18" t="s">
        <v>783</v>
      </c>
      <c r="AA84" s="18" t="s">
        <v>785</v>
      </c>
      <c r="AB84" s="18" t="s">
        <v>786</v>
      </c>
    </row>
    <row r="85" spans="1:28" s="17" customFormat="1" ht="12" customHeight="1">
      <c r="A85" s="17">
        <v>93</v>
      </c>
      <c r="B85" s="16" t="s">
        <v>1250</v>
      </c>
      <c r="C85" s="18" t="s">
        <v>792</v>
      </c>
      <c r="D85" s="18" t="s">
        <v>787</v>
      </c>
      <c r="E85" s="18" t="s">
        <v>788</v>
      </c>
      <c r="F85" s="18" t="s">
        <v>92</v>
      </c>
      <c r="G85" s="18" t="s">
        <v>789</v>
      </c>
      <c r="H85" s="18" t="s">
        <v>789</v>
      </c>
      <c r="I85" s="18" t="s">
        <v>790</v>
      </c>
      <c r="J85" s="18" t="s">
        <v>271</v>
      </c>
      <c r="K85" s="20">
        <v>45749</v>
      </c>
      <c r="L85" s="18" t="s">
        <v>791</v>
      </c>
      <c r="N85" s="18" t="s">
        <v>790</v>
      </c>
      <c r="O85" s="18" t="s">
        <v>793</v>
      </c>
      <c r="P85" s="18" t="s">
        <v>794</v>
      </c>
      <c r="Q85" s="18" t="s">
        <v>407</v>
      </c>
      <c r="R85" s="18" t="s">
        <v>793</v>
      </c>
      <c r="U85" s="18" t="s">
        <v>792</v>
      </c>
      <c r="V85" s="18" t="s">
        <v>795</v>
      </c>
      <c r="W85" s="18" t="s">
        <v>796</v>
      </c>
      <c r="X85" s="18" t="b">
        <v>1</v>
      </c>
      <c r="Y85" s="18" t="s">
        <v>797</v>
      </c>
      <c r="Z85" s="18" t="s">
        <v>797</v>
      </c>
      <c r="AA85" s="18" t="s">
        <v>798</v>
      </c>
      <c r="AB85" s="18" t="s">
        <v>799</v>
      </c>
    </row>
    <row r="86" spans="1:28" s="17" customFormat="1" ht="12" customHeight="1">
      <c r="A86" s="17">
        <v>94</v>
      </c>
      <c r="B86" s="16" t="s">
        <v>1250</v>
      </c>
      <c r="C86" s="18" t="s">
        <v>805</v>
      </c>
      <c r="D86" s="18" t="s">
        <v>800</v>
      </c>
      <c r="E86" s="18" t="s">
        <v>801</v>
      </c>
      <c r="F86" s="18" t="s">
        <v>28</v>
      </c>
      <c r="G86" s="18" t="s">
        <v>1248</v>
      </c>
      <c r="H86" s="18" t="s">
        <v>802</v>
      </c>
      <c r="I86" s="18" t="s">
        <v>803</v>
      </c>
      <c r="J86" s="18" t="s">
        <v>271</v>
      </c>
      <c r="K86" s="18" t="s">
        <v>354</v>
      </c>
      <c r="L86" s="18" t="s">
        <v>804</v>
      </c>
      <c r="N86" s="18" t="s">
        <v>803</v>
      </c>
      <c r="O86" s="18" t="s">
        <v>806</v>
      </c>
      <c r="P86" s="18" t="s">
        <v>807</v>
      </c>
      <c r="Q86" s="18" t="s">
        <v>407</v>
      </c>
      <c r="R86" s="18" t="s">
        <v>806</v>
      </c>
      <c r="U86" s="18" t="s">
        <v>805</v>
      </c>
      <c r="V86" s="18" t="s">
        <v>805</v>
      </c>
      <c r="W86" s="18" t="s">
        <v>808</v>
      </c>
      <c r="X86" s="18" t="b">
        <v>1</v>
      </c>
      <c r="Y86" s="18" t="s">
        <v>800</v>
      </c>
      <c r="Z86" s="18" t="s">
        <v>805</v>
      </c>
      <c r="AA86" s="18" t="s">
        <v>798</v>
      </c>
      <c r="AB86" s="18" t="s">
        <v>809</v>
      </c>
    </row>
    <row r="87" spans="1:28" s="17" customFormat="1" ht="12" customHeight="1">
      <c r="A87" s="17">
        <v>95</v>
      </c>
      <c r="B87" s="16" t="s">
        <v>1250</v>
      </c>
      <c r="C87" s="18" t="s">
        <v>814</v>
      </c>
      <c r="E87" s="18" t="s">
        <v>810</v>
      </c>
      <c r="F87" s="18" t="s">
        <v>42</v>
      </c>
      <c r="G87" s="18" t="s">
        <v>811</v>
      </c>
      <c r="H87" s="18" t="s">
        <v>811</v>
      </c>
      <c r="I87" s="18" t="s">
        <v>812</v>
      </c>
      <c r="J87" s="18" t="s">
        <v>271</v>
      </c>
      <c r="K87" s="20">
        <v>45810</v>
      </c>
      <c r="L87" s="18" t="s">
        <v>813</v>
      </c>
      <c r="N87" s="18" t="s">
        <v>812</v>
      </c>
      <c r="O87" s="18" t="s">
        <v>815</v>
      </c>
      <c r="P87" s="18" t="s">
        <v>816</v>
      </c>
      <c r="Q87" s="18" t="s">
        <v>817</v>
      </c>
      <c r="R87" s="18" t="s">
        <v>815</v>
      </c>
      <c r="U87" s="18" t="s">
        <v>814</v>
      </c>
      <c r="V87" s="18" t="s">
        <v>818</v>
      </c>
      <c r="W87" s="18" t="s">
        <v>819</v>
      </c>
      <c r="X87" s="18" t="b">
        <v>1</v>
      </c>
      <c r="Y87" s="18" t="s">
        <v>814</v>
      </c>
      <c r="Z87" s="18" t="s">
        <v>1015</v>
      </c>
      <c r="AA87" s="18" t="s">
        <v>798</v>
      </c>
      <c r="AB87" s="18" t="s">
        <v>820</v>
      </c>
    </row>
    <row r="88" spans="1:28" s="17" customFormat="1" ht="12" customHeight="1">
      <c r="A88" s="17">
        <v>96</v>
      </c>
      <c r="B88" s="16" t="s">
        <v>1250</v>
      </c>
      <c r="C88" s="18" t="s">
        <v>1013</v>
      </c>
      <c r="D88" s="18" t="s">
        <v>821</v>
      </c>
      <c r="E88" s="18" t="s">
        <v>822</v>
      </c>
      <c r="F88" s="18" t="s">
        <v>42</v>
      </c>
      <c r="G88" s="18" t="s">
        <v>823</v>
      </c>
      <c r="H88" s="18" t="s">
        <v>823</v>
      </c>
      <c r="I88" s="18" t="s">
        <v>824</v>
      </c>
      <c r="J88" s="18" t="s">
        <v>402</v>
      </c>
      <c r="K88" s="20">
        <v>45691</v>
      </c>
      <c r="L88" s="18" t="s">
        <v>1174</v>
      </c>
      <c r="N88" s="18" t="s">
        <v>824</v>
      </c>
      <c r="O88" s="18" t="s">
        <v>826</v>
      </c>
      <c r="Q88" s="18" t="s">
        <v>827</v>
      </c>
      <c r="R88" s="18" t="s">
        <v>826</v>
      </c>
      <c r="S88" s="18" t="s">
        <v>828</v>
      </c>
      <c r="T88" s="18" t="s">
        <v>829</v>
      </c>
      <c r="U88" s="18" t="s">
        <v>825</v>
      </c>
      <c r="V88" s="18" t="s">
        <v>830</v>
      </c>
      <c r="W88" s="18" t="s">
        <v>831</v>
      </c>
      <c r="X88" s="18" t="b">
        <v>1</v>
      </c>
      <c r="Y88" s="18" t="s">
        <v>821</v>
      </c>
      <c r="Z88" s="18" t="s">
        <v>1013</v>
      </c>
      <c r="AA88" s="18" t="s">
        <v>798</v>
      </c>
      <c r="AB88" s="18" t="s">
        <v>832</v>
      </c>
    </row>
    <row r="89" spans="1:28" s="17" customFormat="1" ht="12" customHeight="1">
      <c r="A89" s="17">
        <v>97</v>
      </c>
      <c r="B89" s="16" t="s">
        <v>1250</v>
      </c>
      <c r="C89" s="18" t="s">
        <v>836</v>
      </c>
      <c r="E89" s="18" t="s">
        <v>668</v>
      </c>
      <c r="F89" s="18" t="s">
        <v>429</v>
      </c>
      <c r="G89" s="18" t="s">
        <v>1115</v>
      </c>
      <c r="H89" s="18" t="s">
        <v>833</v>
      </c>
      <c r="I89" s="18" t="s">
        <v>834</v>
      </c>
      <c r="J89" s="18" t="s">
        <v>271</v>
      </c>
      <c r="K89" s="20">
        <v>45901</v>
      </c>
      <c r="L89" s="18" t="s">
        <v>835</v>
      </c>
      <c r="N89" s="18" t="s">
        <v>834</v>
      </c>
      <c r="O89" s="18" t="s">
        <v>837</v>
      </c>
      <c r="P89" s="18" t="s">
        <v>838</v>
      </c>
      <c r="Q89" s="18" t="s">
        <v>839</v>
      </c>
      <c r="R89" s="18" t="s">
        <v>837</v>
      </c>
      <c r="U89" s="18" t="s">
        <v>836</v>
      </c>
      <c r="V89" s="18" t="s">
        <v>836</v>
      </c>
      <c r="W89" s="18" t="s">
        <v>840</v>
      </c>
      <c r="X89" s="18" t="b">
        <v>1</v>
      </c>
      <c r="Y89" s="18" t="s">
        <v>836</v>
      </c>
      <c r="Z89" s="18" t="s">
        <v>836</v>
      </c>
      <c r="AA89" s="18" t="s">
        <v>841</v>
      </c>
      <c r="AB89" s="18" t="s">
        <v>842</v>
      </c>
    </row>
    <row r="90" spans="1:28" s="17" customFormat="1" ht="12" customHeight="1">
      <c r="A90" s="17">
        <v>98</v>
      </c>
      <c r="B90" s="16" t="s">
        <v>1250</v>
      </c>
      <c r="C90" s="18" t="s">
        <v>844</v>
      </c>
      <c r="F90" s="18" t="s">
        <v>1252</v>
      </c>
      <c r="G90" s="18" t="s">
        <v>1115</v>
      </c>
      <c r="H90" s="18" t="s">
        <v>833</v>
      </c>
      <c r="I90" s="18" t="s">
        <v>843</v>
      </c>
      <c r="J90" s="18" t="s">
        <v>271</v>
      </c>
      <c r="K90" s="18" t="s">
        <v>354</v>
      </c>
      <c r="L90" s="18" t="s">
        <v>671</v>
      </c>
      <c r="N90" s="18" t="s">
        <v>843</v>
      </c>
      <c r="O90" s="18" t="s">
        <v>845</v>
      </c>
      <c r="P90" s="18" t="s">
        <v>674</v>
      </c>
      <c r="Q90" s="18" t="s">
        <v>566</v>
      </c>
      <c r="R90" s="18" t="s">
        <v>845</v>
      </c>
      <c r="U90" s="18" t="s">
        <v>844</v>
      </c>
      <c r="V90" s="18" t="s">
        <v>844</v>
      </c>
      <c r="W90" s="18" t="s">
        <v>846</v>
      </c>
      <c r="X90" s="18" t="b">
        <v>1</v>
      </c>
      <c r="Y90" s="18" t="s">
        <v>844</v>
      </c>
      <c r="Z90" s="18" t="s">
        <v>844</v>
      </c>
      <c r="AA90" s="18" t="s">
        <v>841</v>
      </c>
      <c r="AB90" s="18" t="s">
        <v>847</v>
      </c>
    </row>
    <row r="91" spans="1:28" s="17" customFormat="1" ht="12" customHeight="1">
      <c r="A91" s="17">
        <v>99</v>
      </c>
      <c r="B91" s="16" t="s">
        <v>1250</v>
      </c>
      <c r="C91" s="18" t="s">
        <v>851</v>
      </c>
      <c r="D91" s="18" t="s">
        <v>848</v>
      </c>
      <c r="E91" s="18" t="s">
        <v>341</v>
      </c>
      <c r="F91" s="18" t="s">
        <v>92</v>
      </c>
      <c r="G91" s="18" t="s">
        <v>1115</v>
      </c>
      <c r="H91" s="18" t="s">
        <v>833</v>
      </c>
      <c r="I91" s="18" t="s">
        <v>849</v>
      </c>
      <c r="J91" s="18" t="s">
        <v>271</v>
      </c>
      <c r="K91" s="20">
        <v>45779</v>
      </c>
      <c r="L91" s="18" t="s">
        <v>850</v>
      </c>
      <c r="N91" s="18" t="s">
        <v>849</v>
      </c>
      <c r="O91" s="18" t="s">
        <v>852</v>
      </c>
      <c r="P91" s="18" t="s">
        <v>853</v>
      </c>
      <c r="Q91" s="18" t="s">
        <v>854</v>
      </c>
      <c r="R91" s="18" t="s">
        <v>852</v>
      </c>
      <c r="U91" s="18" t="s">
        <v>851</v>
      </c>
      <c r="V91" s="18" t="s">
        <v>855</v>
      </c>
      <c r="W91" s="18" t="s">
        <v>856</v>
      </c>
      <c r="X91" s="18" t="b">
        <v>1</v>
      </c>
      <c r="Y91" s="18" t="s">
        <v>848</v>
      </c>
      <c r="Z91" s="18" t="s">
        <v>848</v>
      </c>
      <c r="AA91" s="18" t="s">
        <v>841</v>
      </c>
      <c r="AB91" s="18" t="s">
        <v>857</v>
      </c>
    </row>
    <row r="92" spans="1:28" s="17" customFormat="1" ht="12" customHeight="1">
      <c r="A92" s="17">
        <v>100</v>
      </c>
      <c r="B92" s="16" t="s">
        <v>1250</v>
      </c>
      <c r="C92" s="18" t="s">
        <v>862</v>
      </c>
      <c r="E92" s="18" t="s">
        <v>858</v>
      </c>
      <c r="F92" s="18" t="s">
        <v>92</v>
      </c>
      <c r="G92" s="18" t="s">
        <v>1246</v>
      </c>
      <c r="H92" s="18" t="s">
        <v>859</v>
      </c>
      <c r="I92" s="18" t="s">
        <v>860</v>
      </c>
      <c r="J92" s="18" t="s">
        <v>271</v>
      </c>
      <c r="K92" s="20">
        <v>45749</v>
      </c>
      <c r="L92" s="18" t="s">
        <v>861</v>
      </c>
      <c r="N92" s="18" t="s">
        <v>860</v>
      </c>
      <c r="O92" s="18" t="s">
        <v>863</v>
      </c>
      <c r="P92" s="18" t="s">
        <v>864</v>
      </c>
      <c r="Q92" s="18" t="s">
        <v>104</v>
      </c>
      <c r="R92" s="18" t="s">
        <v>863</v>
      </c>
      <c r="U92" s="18" t="s">
        <v>862</v>
      </c>
      <c r="V92" s="18" t="s">
        <v>862</v>
      </c>
      <c r="W92" s="18" t="s">
        <v>865</v>
      </c>
      <c r="X92" s="18" t="b">
        <v>1</v>
      </c>
      <c r="Y92" s="18" t="s">
        <v>862</v>
      </c>
      <c r="Z92" s="18" t="s">
        <v>862</v>
      </c>
      <c r="AA92" s="18" t="s">
        <v>841</v>
      </c>
      <c r="AB92" s="18" t="s">
        <v>866</v>
      </c>
    </row>
    <row r="93" spans="1:28" s="17" customFormat="1" ht="12" customHeight="1">
      <c r="A93" s="17">
        <v>101</v>
      </c>
      <c r="B93" s="16" t="s">
        <v>1250</v>
      </c>
      <c r="C93" s="18" t="s">
        <v>870</v>
      </c>
      <c r="E93" s="18" t="s">
        <v>867</v>
      </c>
      <c r="F93" s="18" t="s">
        <v>28</v>
      </c>
      <c r="G93" s="18" t="s">
        <v>1246</v>
      </c>
      <c r="H93" s="18" t="s">
        <v>859</v>
      </c>
      <c r="I93" s="18" t="s">
        <v>868</v>
      </c>
      <c r="J93" s="18" t="s">
        <v>271</v>
      </c>
      <c r="K93" s="20">
        <v>45778</v>
      </c>
      <c r="L93" s="18" t="s">
        <v>869</v>
      </c>
      <c r="N93" s="18" t="s">
        <v>868</v>
      </c>
      <c r="O93" s="18" t="s">
        <v>871</v>
      </c>
      <c r="P93" s="18" t="s">
        <v>872</v>
      </c>
      <c r="Q93" s="18" t="s">
        <v>873</v>
      </c>
      <c r="R93" s="18" t="s">
        <v>871</v>
      </c>
      <c r="U93" s="18" t="s">
        <v>870</v>
      </c>
      <c r="V93" s="18" t="s">
        <v>870</v>
      </c>
      <c r="W93" s="18" t="s">
        <v>874</v>
      </c>
      <c r="X93" s="18" t="b">
        <v>1</v>
      </c>
      <c r="Y93" s="18" t="s">
        <v>870</v>
      </c>
      <c r="Z93" s="18" t="s">
        <v>870</v>
      </c>
      <c r="AA93" s="18" t="s">
        <v>841</v>
      </c>
      <c r="AB93" s="18" t="s">
        <v>875</v>
      </c>
    </row>
    <row r="94" spans="1:28" s="17" customFormat="1" ht="12" customHeight="1">
      <c r="A94" s="17">
        <v>126</v>
      </c>
      <c r="B94" s="17" t="s">
        <v>1249</v>
      </c>
      <c r="C94" s="18" t="s">
        <v>1020</v>
      </c>
      <c r="D94" s="16" t="s">
        <v>1096</v>
      </c>
      <c r="E94" s="18" t="s">
        <v>1093</v>
      </c>
      <c r="F94" s="18" t="s">
        <v>42</v>
      </c>
      <c r="G94" s="19" t="s">
        <v>1002</v>
      </c>
      <c r="H94" s="19" t="s">
        <v>1002</v>
      </c>
      <c r="L94" s="16" t="s">
        <v>1076</v>
      </c>
      <c r="M94" s="18" t="s">
        <v>1077</v>
      </c>
      <c r="R94" s="18" t="s">
        <v>1077</v>
      </c>
      <c r="Y94" s="18" t="s">
        <v>1020</v>
      </c>
      <c r="Z94" s="18" t="s">
        <v>1020</v>
      </c>
    </row>
    <row r="95" spans="1:28" s="17" customFormat="1" ht="12" customHeight="1">
      <c r="A95" s="17">
        <v>127</v>
      </c>
      <c r="B95" s="17" t="s">
        <v>1249</v>
      </c>
      <c r="C95" s="18" t="s">
        <v>1025</v>
      </c>
      <c r="D95" s="16" t="s">
        <v>1095</v>
      </c>
      <c r="E95" s="18" t="s">
        <v>1094</v>
      </c>
      <c r="F95" s="18" t="s">
        <v>42</v>
      </c>
      <c r="G95" s="19" t="s">
        <v>1002</v>
      </c>
      <c r="H95" s="19" t="s">
        <v>1002</v>
      </c>
      <c r="L95" s="16" t="s">
        <v>1075</v>
      </c>
      <c r="M95" s="18" t="s">
        <v>1078</v>
      </c>
      <c r="R95" s="18" t="s">
        <v>1078</v>
      </c>
      <c r="Y95" s="18" t="s">
        <v>1025</v>
      </c>
      <c r="Z95" s="18" t="s">
        <v>1025</v>
      </c>
    </row>
    <row r="96" spans="1:28" s="17" customFormat="1" ht="12" customHeight="1">
      <c r="A96" s="17">
        <v>128</v>
      </c>
      <c r="B96" s="17" t="s">
        <v>1249</v>
      </c>
      <c r="C96" s="18" t="s">
        <v>1021</v>
      </c>
      <c r="D96" s="16" t="s">
        <v>1097</v>
      </c>
      <c r="E96" s="16" t="s">
        <v>1157</v>
      </c>
      <c r="F96" s="18" t="s">
        <v>42</v>
      </c>
      <c r="G96" s="19" t="s">
        <v>1002</v>
      </c>
      <c r="H96" s="19" t="s">
        <v>1002</v>
      </c>
      <c r="L96" s="16" t="s">
        <v>1067</v>
      </c>
      <c r="M96" s="17" t="s">
        <v>1045</v>
      </c>
      <c r="R96" s="17" t="s">
        <v>1045</v>
      </c>
      <c r="Y96" s="18" t="s">
        <v>1021</v>
      </c>
      <c r="Z96" s="18" t="s">
        <v>1021</v>
      </c>
    </row>
    <row r="97" spans="1:26" s="17" customFormat="1" ht="12" customHeight="1">
      <c r="A97" s="17">
        <v>129</v>
      </c>
      <c r="B97" s="17" t="s">
        <v>1249</v>
      </c>
      <c r="C97" s="18" t="s">
        <v>1023</v>
      </c>
      <c r="D97" s="16" t="s">
        <v>1098</v>
      </c>
      <c r="E97" s="16" t="s">
        <v>1157</v>
      </c>
      <c r="F97" s="18" t="s">
        <v>1060</v>
      </c>
      <c r="G97" s="19" t="s">
        <v>1002</v>
      </c>
      <c r="H97" s="19" t="s">
        <v>1002</v>
      </c>
      <c r="L97" s="16" t="s">
        <v>1067</v>
      </c>
      <c r="M97" s="17" t="s">
        <v>1046</v>
      </c>
      <c r="R97" s="17" t="s">
        <v>1046</v>
      </c>
      <c r="Y97" s="18" t="s">
        <v>1023</v>
      </c>
      <c r="Z97" s="18" t="s">
        <v>1023</v>
      </c>
    </row>
    <row r="98" spans="1:26" s="17" customFormat="1" ht="12" customHeight="1">
      <c r="A98" s="17">
        <v>130</v>
      </c>
      <c r="B98" s="17" t="s">
        <v>1249</v>
      </c>
      <c r="C98" s="18" t="s">
        <v>1064</v>
      </c>
      <c r="E98" s="16" t="s">
        <v>1065</v>
      </c>
      <c r="F98" s="18" t="s">
        <v>1060</v>
      </c>
      <c r="G98" s="19" t="s">
        <v>1002</v>
      </c>
      <c r="H98" s="19" t="s">
        <v>1002</v>
      </c>
      <c r="L98" s="16" t="s">
        <v>1068</v>
      </c>
      <c r="M98" s="16" t="s">
        <v>1066</v>
      </c>
      <c r="R98" s="16" t="s">
        <v>1066</v>
      </c>
      <c r="Y98" s="18" t="s">
        <v>1064</v>
      </c>
      <c r="Z98" s="18" t="s">
        <v>1064</v>
      </c>
    </row>
    <row r="99" spans="1:26" s="17" customFormat="1" ht="12" customHeight="1">
      <c r="A99" s="17">
        <v>131</v>
      </c>
      <c r="B99" s="17" t="s">
        <v>1249</v>
      </c>
      <c r="C99" s="18" t="s">
        <v>1205</v>
      </c>
      <c r="E99" s="16" t="s">
        <v>1061</v>
      </c>
      <c r="F99" s="18" t="s">
        <v>42</v>
      </c>
      <c r="G99" s="18" t="s">
        <v>811</v>
      </c>
      <c r="H99" s="18" t="s">
        <v>811</v>
      </c>
      <c r="L99" s="16" t="s">
        <v>1074</v>
      </c>
      <c r="M99" s="16" t="s">
        <v>1062</v>
      </c>
      <c r="R99" s="16" t="s">
        <v>1062</v>
      </c>
      <c r="Y99" s="18" t="s">
        <v>1022</v>
      </c>
      <c r="Z99" s="18" t="s">
        <v>1022</v>
      </c>
    </row>
    <row r="100" spans="1:26" s="17" customFormat="1" ht="12" customHeight="1">
      <c r="A100" s="17">
        <v>132</v>
      </c>
      <c r="B100" s="17" t="s">
        <v>1249</v>
      </c>
      <c r="C100" s="18" t="s">
        <v>1018</v>
      </c>
      <c r="D100" s="16" t="s">
        <v>1057</v>
      </c>
      <c r="E100" s="16" t="s">
        <v>1058</v>
      </c>
      <c r="F100" s="18" t="s">
        <v>42</v>
      </c>
      <c r="G100" s="17" t="s">
        <v>1100</v>
      </c>
      <c r="H100" s="17" t="s">
        <v>1100</v>
      </c>
      <c r="L100" s="16" t="s">
        <v>1073</v>
      </c>
      <c r="M100" s="16" t="s">
        <v>1071</v>
      </c>
      <c r="R100" s="16" t="s">
        <v>1071</v>
      </c>
      <c r="Y100" s="18" t="s">
        <v>1018</v>
      </c>
      <c r="Z100" s="18" t="s">
        <v>1018</v>
      </c>
    </row>
    <row r="101" spans="1:26" s="17" customFormat="1" ht="12" customHeight="1">
      <c r="A101" s="17">
        <v>133</v>
      </c>
      <c r="B101" s="17" t="s">
        <v>1249</v>
      </c>
      <c r="C101" s="18" t="s">
        <v>1024</v>
      </c>
      <c r="D101" s="16" t="s">
        <v>1056</v>
      </c>
      <c r="E101" s="17" t="s">
        <v>41</v>
      </c>
      <c r="F101" s="18" t="s">
        <v>42</v>
      </c>
      <c r="G101" s="18" t="s">
        <v>1101</v>
      </c>
      <c r="H101" s="18" t="s">
        <v>1101</v>
      </c>
      <c r="L101" s="16" t="s">
        <v>1099</v>
      </c>
      <c r="M101" s="16" t="s">
        <v>1072</v>
      </c>
      <c r="R101" s="16" t="s">
        <v>1072</v>
      </c>
      <c r="Y101" s="18" t="s">
        <v>1024</v>
      </c>
      <c r="Z101" s="18" t="s">
        <v>1024</v>
      </c>
    </row>
    <row r="102" spans="1:26" s="17" customFormat="1" ht="12" customHeight="1">
      <c r="A102" s="17">
        <v>134</v>
      </c>
      <c r="B102" s="17" t="s">
        <v>1249</v>
      </c>
      <c r="C102" s="18" t="s">
        <v>1029</v>
      </c>
      <c r="E102" s="16" t="s">
        <v>1059</v>
      </c>
      <c r="F102" s="18" t="s">
        <v>42</v>
      </c>
      <c r="G102" s="17" t="s">
        <v>1100</v>
      </c>
      <c r="H102" s="17" t="s">
        <v>1100</v>
      </c>
      <c r="L102" s="16" t="s">
        <v>1102</v>
      </c>
      <c r="M102" s="16" t="s">
        <v>1070</v>
      </c>
      <c r="R102" s="16" t="s">
        <v>1070</v>
      </c>
      <c r="Y102" s="18" t="s">
        <v>1029</v>
      </c>
      <c r="Z102" s="18" t="s">
        <v>1029</v>
      </c>
    </row>
    <row r="103" spans="1:26" s="17" customFormat="1" ht="12" customHeight="1">
      <c r="A103" s="17">
        <v>135</v>
      </c>
      <c r="B103" s="17" t="s">
        <v>1249</v>
      </c>
      <c r="C103" s="18" t="s">
        <v>1028</v>
      </c>
      <c r="E103" s="16" t="s">
        <v>1156</v>
      </c>
      <c r="F103" s="18" t="s">
        <v>42</v>
      </c>
      <c r="G103" s="18" t="s">
        <v>1240</v>
      </c>
      <c r="H103" s="16" t="s">
        <v>1121</v>
      </c>
      <c r="L103" s="16" t="s">
        <v>1147</v>
      </c>
      <c r="M103" s="17" t="s">
        <v>1047</v>
      </c>
      <c r="R103" s="17" t="s">
        <v>1047</v>
      </c>
      <c r="Y103" s="18" t="s">
        <v>1028</v>
      </c>
      <c r="Z103" s="18" t="s">
        <v>1028</v>
      </c>
    </row>
    <row r="104" spans="1:26" s="17" customFormat="1" ht="12" customHeight="1">
      <c r="A104" s="17">
        <v>136</v>
      </c>
      <c r="B104" s="17" t="s">
        <v>1249</v>
      </c>
      <c r="C104" s="16" t="s">
        <v>1171</v>
      </c>
      <c r="E104" s="16" t="s">
        <v>1172</v>
      </c>
      <c r="F104" s="16" t="s">
        <v>1060</v>
      </c>
      <c r="G104" s="16" t="s">
        <v>1173</v>
      </c>
      <c r="H104" s="16" t="s">
        <v>1173</v>
      </c>
      <c r="L104" s="16" t="s">
        <v>1186</v>
      </c>
      <c r="M104" s="17" t="s">
        <v>1175</v>
      </c>
      <c r="R104" s="17" t="s">
        <v>1175</v>
      </c>
      <c r="Y104" s="16" t="s">
        <v>1171</v>
      </c>
      <c r="Z104" s="16" t="s">
        <v>1171</v>
      </c>
    </row>
    <row r="105" spans="1:26" s="17" customFormat="1" ht="12" customHeight="1">
      <c r="A105" s="17">
        <v>137</v>
      </c>
      <c r="B105" s="17" t="s">
        <v>1249</v>
      </c>
      <c r="C105" s="18" t="s">
        <v>1032</v>
      </c>
      <c r="E105" s="16" t="s">
        <v>1127</v>
      </c>
      <c r="F105" s="18" t="s">
        <v>42</v>
      </c>
      <c r="G105" s="18" t="s">
        <v>1240</v>
      </c>
      <c r="H105" s="17" t="s">
        <v>640</v>
      </c>
      <c r="L105" s="16" t="s">
        <v>1165</v>
      </c>
      <c r="M105" s="16" t="s">
        <v>1162</v>
      </c>
      <c r="R105" s="16" t="s">
        <v>1162</v>
      </c>
      <c r="Y105" s="18" t="s">
        <v>1032</v>
      </c>
      <c r="Z105" s="18" t="s">
        <v>1032</v>
      </c>
    </row>
    <row r="106" spans="1:26" s="17" customFormat="1" ht="12" customHeight="1">
      <c r="A106" s="17">
        <v>138</v>
      </c>
      <c r="B106" s="17" t="s">
        <v>1249</v>
      </c>
      <c r="C106" s="18" t="s">
        <v>1033</v>
      </c>
      <c r="E106" s="18" t="s">
        <v>82</v>
      </c>
      <c r="F106" s="18" t="s">
        <v>42</v>
      </c>
      <c r="G106" s="18" t="s">
        <v>1240</v>
      </c>
      <c r="H106" s="18" t="s">
        <v>714</v>
      </c>
      <c r="L106" s="16" t="s">
        <v>1104</v>
      </c>
      <c r="M106" s="22" t="s">
        <v>1105</v>
      </c>
      <c r="R106" s="22" t="s">
        <v>1105</v>
      </c>
      <c r="Y106" s="18" t="s">
        <v>1033</v>
      </c>
      <c r="Z106" s="18" t="s">
        <v>1033</v>
      </c>
    </row>
    <row r="107" spans="1:26" s="17" customFormat="1" ht="12" customHeight="1">
      <c r="A107" s="17">
        <v>139</v>
      </c>
      <c r="B107" s="17" t="s">
        <v>1249</v>
      </c>
      <c r="C107" s="18" t="s">
        <v>1034</v>
      </c>
      <c r="E107" s="18" t="s">
        <v>82</v>
      </c>
      <c r="F107" s="18" t="s">
        <v>42</v>
      </c>
      <c r="G107" s="18" t="s">
        <v>1240</v>
      </c>
      <c r="H107" s="18" t="s">
        <v>714</v>
      </c>
      <c r="L107" s="16" t="s">
        <v>1104</v>
      </c>
      <c r="M107" s="22" t="s">
        <v>1106</v>
      </c>
      <c r="R107" s="22" t="s">
        <v>1106</v>
      </c>
      <c r="Y107" s="18" t="s">
        <v>1034</v>
      </c>
      <c r="Z107" s="18" t="s">
        <v>1034</v>
      </c>
    </row>
    <row r="108" spans="1:26" s="17" customFormat="1" ht="12" customHeight="1">
      <c r="A108" s="17">
        <v>140</v>
      </c>
      <c r="B108" s="17" t="s">
        <v>1249</v>
      </c>
      <c r="C108" s="18" t="s">
        <v>1035</v>
      </c>
      <c r="E108" s="18" t="s">
        <v>82</v>
      </c>
      <c r="F108" s="18" t="s">
        <v>42</v>
      </c>
      <c r="G108" s="18" t="s">
        <v>1240</v>
      </c>
      <c r="H108" s="18" t="s">
        <v>714</v>
      </c>
      <c r="L108" s="16" t="s">
        <v>1107</v>
      </c>
      <c r="M108" s="16" t="s">
        <v>1108</v>
      </c>
      <c r="R108" s="16" t="s">
        <v>1108</v>
      </c>
      <c r="Y108" s="18" t="s">
        <v>1035</v>
      </c>
      <c r="Z108" s="18" t="s">
        <v>1035</v>
      </c>
    </row>
    <row r="109" spans="1:26" s="17" customFormat="1" ht="12" customHeight="1">
      <c r="A109" s="17">
        <v>141</v>
      </c>
      <c r="B109" s="17" t="s">
        <v>1249</v>
      </c>
      <c r="C109" s="16" t="s">
        <v>1036</v>
      </c>
      <c r="E109" s="18" t="s">
        <v>1139</v>
      </c>
      <c r="F109" s="18" t="s">
        <v>42</v>
      </c>
      <c r="G109" s="18" t="s">
        <v>1240</v>
      </c>
      <c r="H109" s="18" t="s">
        <v>640</v>
      </c>
      <c r="L109" s="16" t="s">
        <v>1138</v>
      </c>
      <c r="M109" s="17" t="s">
        <v>1141</v>
      </c>
      <c r="R109" s="17" t="s">
        <v>1141</v>
      </c>
      <c r="Y109" s="16" t="s">
        <v>1036</v>
      </c>
      <c r="Z109" s="16" t="s">
        <v>1036</v>
      </c>
    </row>
    <row r="110" spans="1:26" s="17" customFormat="1" ht="12" customHeight="1">
      <c r="A110" s="17">
        <v>142</v>
      </c>
      <c r="B110" s="17" t="s">
        <v>1249</v>
      </c>
      <c r="C110" s="18" t="s">
        <v>1169</v>
      </c>
      <c r="D110" s="16" t="s">
        <v>1168</v>
      </c>
      <c r="E110" s="18" t="s">
        <v>1167</v>
      </c>
      <c r="F110" s="18" t="s">
        <v>42</v>
      </c>
      <c r="G110" s="18" t="s">
        <v>1247</v>
      </c>
      <c r="H110" s="18" t="s">
        <v>758</v>
      </c>
      <c r="L110" s="16" t="s">
        <v>1147</v>
      </c>
      <c r="M110" s="17" t="s">
        <v>1170</v>
      </c>
      <c r="R110" s="17" t="s">
        <v>1170</v>
      </c>
      <c r="Y110" s="18" t="s">
        <v>1169</v>
      </c>
      <c r="Z110" s="18" t="s">
        <v>1169</v>
      </c>
    </row>
    <row r="111" spans="1:26" s="17" customFormat="1" ht="12" customHeight="1">
      <c r="A111" s="17">
        <v>143</v>
      </c>
      <c r="B111" s="17" t="s">
        <v>1249</v>
      </c>
      <c r="C111" s="18" t="s">
        <v>1088</v>
      </c>
      <c r="E111" s="16" t="s">
        <v>1127</v>
      </c>
      <c r="F111" s="18" t="s">
        <v>1060</v>
      </c>
      <c r="G111" s="18" t="s">
        <v>1247</v>
      </c>
      <c r="H111" s="18" t="s">
        <v>758</v>
      </c>
      <c r="L111" s="17" t="s">
        <v>1087</v>
      </c>
      <c r="M111" s="16" t="s">
        <v>1089</v>
      </c>
      <c r="R111" s="16" t="s">
        <v>1089</v>
      </c>
      <c r="Y111" s="18" t="s">
        <v>1088</v>
      </c>
      <c r="Z111" s="18" t="s">
        <v>1088</v>
      </c>
    </row>
    <row r="112" spans="1:26" s="17" customFormat="1" ht="12" customHeight="1">
      <c r="A112" s="17">
        <v>144</v>
      </c>
      <c r="B112" s="17" t="s">
        <v>1249</v>
      </c>
      <c r="C112" s="16" t="s">
        <v>1019</v>
      </c>
      <c r="E112" s="16" t="s">
        <v>1155</v>
      </c>
      <c r="F112" s="18" t="s">
        <v>1060</v>
      </c>
      <c r="G112" s="18" t="s">
        <v>1247</v>
      </c>
      <c r="H112" s="18" t="s">
        <v>758</v>
      </c>
      <c r="L112" s="16" t="s">
        <v>1159</v>
      </c>
      <c r="M112" s="22" t="s">
        <v>1158</v>
      </c>
      <c r="R112" s="22" t="s">
        <v>1158</v>
      </c>
      <c r="Y112" s="16" t="s">
        <v>1019</v>
      </c>
      <c r="Z112" s="16" t="s">
        <v>1019</v>
      </c>
    </row>
    <row r="113" spans="1:26" s="17" customFormat="1" ht="12" customHeight="1">
      <c r="A113" s="17">
        <v>145</v>
      </c>
      <c r="B113" s="17" t="s">
        <v>1249</v>
      </c>
      <c r="C113" s="18" t="s">
        <v>1148</v>
      </c>
      <c r="E113" s="16" t="s">
        <v>1155</v>
      </c>
      <c r="F113" s="18" t="s">
        <v>1060</v>
      </c>
      <c r="G113" s="18" t="s">
        <v>1242</v>
      </c>
      <c r="H113" s="18" t="s">
        <v>1000</v>
      </c>
      <c r="L113" s="17" t="s">
        <v>1150</v>
      </c>
      <c r="M113" s="16" t="s">
        <v>1151</v>
      </c>
      <c r="R113" s="16" t="s">
        <v>1151</v>
      </c>
      <c r="Y113" s="18" t="s">
        <v>1148</v>
      </c>
      <c r="Z113" s="18" t="s">
        <v>1148</v>
      </c>
    </row>
    <row r="114" spans="1:26" s="17" customFormat="1" ht="12" customHeight="1">
      <c r="A114" s="17">
        <v>146</v>
      </c>
      <c r="B114" s="17" t="s">
        <v>1249</v>
      </c>
      <c r="C114" s="18" t="s">
        <v>1149</v>
      </c>
      <c r="D114" s="16" t="s">
        <v>1153</v>
      </c>
      <c r="E114" s="16" t="s">
        <v>1155</v>
      </c>
      <c r="F114" s="18" t="s">
        <v>1060</v>
      </c>
      <c r="G114" s="18" t="s">
        <v>1242</v>
      </c>
      <c r="H114" s="18" t="s">
        <v>1000</v>
      </c>
      <c r="L114" s="16" t="s">
        <v>1152</v>
      </c>
      <c r="M114" s="16" t="s">
        <v>1154</v>
      </c>
      <c r="R114" s="16" t="s">
        <v>1154</v>
      </c>
      <c r="Y114" s="18" t="s">
        <v>1149</v>
      </c>
      <c r="Z114" s="18" t="s">
        <v>1149</v>
      </c>
    </row>
    <row r="115" spans="1:26" s="17" customFormat="1" ht="12" customHeight="1">
      <c r="A115" s="17">
        <v>147</v>
      </c>
      <c r="B115" s="17" t="s">
        <v>1249</v>
      </c>
      <c r="C115" s="18" t="s">
        <v>1111</v>
      </c>
      <c r="E115" s="17" t="s">
        <v>1112</v>
      </c>
      <c r="F115" s="18" t="s">
        <v>1113</v>
      </c>
      <c r="G115" s="18" t="s">
        <v>1242</v>
      </c>
      <c r="H115" s="18" t="s">
        <v>1000</v>
      </c>
      <c r="L115" s="16" t="s">
        <v>1110</v>
      </c>
      <c r="M115" s="16" t="s">
        <v>1114</v>
      </c>
      <c r="R115" s="16" t="s">
        <v>1114</v>
      </c>
      <c r="Y115" s="18" t="s">
        <v>1111</v>
      </c>
      <c r="Z115" s="18" t="s">
        <v>1111</v>
      </c>
    </row>
    <row r="116" spans="1:26" s="17" customFormat="1" ht="12" customHeight="1">
      <c r="A116" s="17">
        <v>148</v>
      </c>
      <c r="B116" s="17" t="s">
        <v>1249</v>
      </c>
      <c r="C116" s="18" t="s">
        <v>1080</v>
      </c>
      <c r="E116" s="16" t="s">
        <v>1081</v>
      </c>
      <c r="F116" s="18" t="s">
        <v>1113</v>
      </c>
      <c r="G116" s="18" t="s">
        <v>1246</v>
      </c>
      <c r="H116" s="18" t="s">
        <v>658</v>
      </c>
      <c r="L116" s="16" t="s">
        <v>1079</v>
      </c>
      <c r="M116" s="16" t="s">
        <v>1082</v>
      </c>
      <c r="R116" s="16" t="s">
        <v>1082</v>
      </c>
      <c r="Y116" s="18" t="s">
        <v>1080</v>
      </c>
      <c r="Z116" s="18" t="s">
        <v>1080</v>
      </c>
    </row>
    <row r="117" spans="1:26" s="17" customFormat="1" ht="12" customHeight="1">
      <c r="A117" s="17">
        <v>149</v>
      </c>
      <c r="B117" s="17" t="s">
        <v>1249</v>
      </c>
      <c r="C117" s="18" t="s">
        <v>1132</v>
      </c>
      <c r="E117" s="16" t="s">
        <v>1134</v>
      </c>
      <c r="F117" s="18" t="s">
        <v>1063</v>
      </c>
      <c r="G117" s="18" t="s">
        <v>1246</v>
      </c>
      <c r="H117" s="18" t="s">
        <v>1179</v>
      </c>
      <c r="L117" s="16" t="s">
        <v>1133</v>
      </c>
      <c r="M117" s="16" t="s">
        <v>1135</v>
      </c>
      <c r="R117" s="16" t="s">
        <v>1135</v>
      </c>
      <c r="Y117" s="18" t="s">
        <v>1132</v>
      </c>
      <c r="Z117" s="18" t="s">
        <v>1132</v>
      </c>
    </row>
    <row r="118" spans="1:26" s="17" customFormat="1" ht="12" customHeight="1">
      <c r="A118" s="17">
        <v>150</v>
      </c>
      <c r="B118" s="17" t="s">
        <v>1249</v>
      </c>
      <c r="C118" s="18" t="s">
        <v>1037</v>
      </c>
      <c r="E118" s="16" t="s">
        <v>1177</v>
      </c>
      <c r="F118" s="16" t="s">
        <v>1063</v>
      </c>
      <c r="G118" s="16" t="s">
        <v>1246</v>
      </c>
      <c r="H118" s="16" t="s">
        <v>1176</v>
      </c>
      <c r="L118" s="16" t="s">
        <v>1180</v>
      </c>
      <c r="M118" s="16" t="s">
        <v>1178</v>
      </c>
      <c r="R118" s="16" t="s">
        <v>1178</v>
      </c>
      <c r="Y118" s="18" t="s">
        <v>1037</v>
      </c>
      <c r="Z118" s="18" t="s">
        <v>1037</v>
      </c>
    </row>
    <row r="119" spans="1:26" s="17" customFormat="1" ht="12" customHeight="1">
      <c r="A119" s="17">
        <v>151</v>
      </c>
      <c r="B119" s="17" t="s">
        <v>1249</v>
      </c>
      <c r="C119" s="18" t="s">
        <v>1048</v>
      </c>
      <c r="E119" s="16" t="s">
        <v>1127</v>
      </c>
      <c r="F119" s="18" t="s">
        <v>1126</v>
      </c>
      <c r="G119" s="16" t="s">
        <v>1117</v>
      </c>
      <c r="H119" s="16" t="s">
        <v>1117</v>
      </c>
      <c r="L119" s="16" t="s">
        <v>1119</v>
      </c>
      <c r="M119" s="16" t="s">
        <v>1049</v>
      </c>
      <c r="R119" s="16" t="s">
        <v>1049</v>
      </c>
      <c r="Y119" s="18" t="s">
        <v>1048</v>
      </c>
      <c r="Z119" s="18" t="s">
        <v>1048</v>
      </c>
    </row>
    <row r="120" spans="1:26" s="17" customFormat="1" ht="12" customHeight="1">
      <c r="A120" s="17">
        <v>152</v>
      </c>
      <c r="B120" s="17" t="s">
        <v>1249</v>
      </c>
      <c r="C120" s="18" t="s">
        <v>1038</v>
      </c>
      <c r="D120" s="16" t="s">
        <v>1039</v>
      </c>
      <c r="E120" s="16" t="s">
        <v>1127</v>
      </c>
      <c r="F120" s="18" t="s">
        <v>92</v>
      </c>
      <c r="G120" s="16" t="s">
        <v>1117</v>
      </c>
      <c r="H120" s="16" t="s">
        <v>1117</v>
      </c>
      <c r="L120" s="16" t="s">
        <v>1118</v>
      </c>
      <c r="M120" s="16" t="s">
        <v>1120</v>
      </c>
      <c r="R120" s="16" t="s">
        <v>1120</v>
      </c>
      <c r="Y120" s="18" t="s">
        <v>1038</v>
      </c>
      <c r="Z120" s="18" t="s">
        <v>1038</v>
      </c>
    </row>
    <row r="121" spans="1:26" s="17" customFormat="1" ht="12" customHeight="1">
      <c r="A121" s="17">
        <v>153</v>
      </c>
      <c r="B121" s="17" t="s">
        <v>1249</v>
      </c>
      <c r="C121" s="18" t="s">
        <v>1041</v>
      </c>
      <c r="E121" s="17" t="s">
        <v>1122</v>
      </c>
      <c r="F121" s="18" t="s">
        <v>92</v>
      </c>
      <c r="G121" s="16" t="s">
        <v>1117</v>
      </c>
      <c r="H121" s="16" t="s">
        <v>1117</v>
      </c>
      <c r="L121" s="17" t="s">
        <v>1050</v>
      </c>
      <c r="M121" s="17" t="s">
        <v>1124</v>
      </c>
      <c r="R121" s="17" t="s">
        <v>1124</v>
      </c>
      <c r="Y121" s="18" t="s">
        <v>1041</v>
      </c>
      <c r="Z121" s="18" t="s">
        <v>1041</v>
      </c>
    </row>
    <row r="122" spans="1:26" s="17" customFormat="1" ht="12" customHeight="1">
      <c r="A122" s="17">
        <v>154</v>
      </c>
      <c r="B122" s="17" t="s">
        <v>1249</v>
      </c>
      <c r="C122" s="16" t="s">
        <v>1040</v>
      </c>
      <c r="E122" s="17" t="s">
        <v>1123</v>
      </c>
      <c r="F122" s="18" t="s">
        <v>92</v>
      </c>
      <c r="G122" s="16" t="s">
        <v>1117</v>
      </c>
      <c r="H122" s="16" t="s">
        <v>1117</v>
      </c>
      <c r="L122" s="17" t="s">
        <v>1050</v>
      </c>
      <c r="M122" s="17" t="s">
        <v>1125</v>
      </c>
      <c r="R122" s="17" t="s">
        <v>1125</v>
      </c>
      <c r="Y122" s="16" t="s">
        <v>1040</v>
      </c>
      <c r="Z122" s="16" t="s">
        <v>1040</v>
      </c>
    </row>
    <row r="123" spans="1:26" s="17" customFormat="1" ht="12" customHeight="1">
      <c r="A123" s="17">
        <v>155</v>
      </c>
      <c r="B123" s="17" t="s">
        <v>1249</v>
      </c>
      <c r="C123" s="18" t="s">
        <v>1042</v>
      </c>
      <c r="E123" s="16" t="s">
        <v>1164</v>
      </c>
      <c r="F123" s="18" t="s">
        <v>1126</v>
      </c>
      <c r="G123" s="16" t="s">
        <v>1001</v>
      </c>
      <c r="H123" s="16" t="s">
        <v>1001</v>
      </c>
      <c r="L123" s="16" t="s">
        <v>1163</v>
      </c>
      <c r="M123" s="16" t="s">
        <v>1166</v>
      </c>
      <c r="R123" s="16" t="s">
        <v>1166</v>
      </c>
      <c r="Y123" s="18" t="s">
        <v>1042</v>
      </c>
      <c r="Z123" s="18" t="s">
        <v>1042</v>
      </c>
    </row>
    <row r="124" spans="1:26" s="17" customFormat="1" ht="12" customHeight="1">
      <c r="A124" s="17">
        <v>156</v>
      </c>
      <c r="B124" s="17" t="s">
        <v>1249</v>
      </c>
      <c r="C124" s="18" t="s">
        <v>1043</v>
      </c>
      <c r="E124" s="16" t="s">
        <v>1144</v>
      </c>
      <c r="F124" s="16" t="s">
        <v>1063</v>
      </c>
      <c r="G124" s="18" t="s">
        <v>789</v>
      </c>
      <c r="H124" s="18" t="s">
        <v>789</v>
      </c>
      <c r="L124" s="16" t="s">
        <v>1044</v>
      </c>
      <c r="M124" s="16" t="s">
        <v>1145</v>
      </c>
      <c r="R124" s="16" t="s">
        <v>1145</v>
      </c>
      <c r="Y124" s="18" t="s">
        <v>1043</v>
      </c>
      <c r="Z124" s="18" t="s">
        <v>1043</v>
      </c>
    </row>
    <row r="125" spans="1:26" s="17" customFormat="1" ht="12" customHeight="1">
      <c r="A125" s="17">
        <v>157</v>
      </c>
      <c r="B125" s="17" t="s">
        <v>1249</v>
      </c>
      <c r="C125" s="18" t="s">
        <v>1030</v>
      </c>
      <c r="E125" s="17" t="s">
        <v>1142</v>
      </c>
      <c r="F125" s="18" t="s">
        <v>1063</v>
      </c>
      <c r="G125" s="16" t="s">
        <v>1001</v>
      </c>
      <c r="H125" s="16" t="s">
        <v>1001</v>
      </c>
      <c r="L125" s="16" t="s">
        <v>1143</v>
      </c>
      <c r="M125" s="16" t="s">
        <v>1146</v>
      </c>
      <c r="R125" s="16" t="s">
        <v>1146</v>
      </c>
      <c r="Y125" s="18" t="s">
        <v>1030</v>
      </c>
      <c r="Z125" s="18" t="s">
        <v>1030</v>
      </c>
    </row>
    <row r="126" spans="1:26" s="17" customFormat="1" ht="12" customHeight="1">
      <c r="A126" s="17">
        <v>158</v>
      </c>
      <c r="B126" s="17" t="s">
        <v>1249</v>
      </c>
      <c r="C126" s="16" t="s">
        <v>1031</v>
      </c>
      <c r="E126" s="16" t="s">
        <v>1091</v>
      </c>
      <c r="F126" s="16" t="s">
        <v>1063</v>
      </c>
      <c r="G126" s="16" t="s">
        <v>1001</v>
      </c>
      <c r="H126" s="16" t="s">
        <v>1001</v>
      </c>
      <c r="L126" s="16" t="s">
        <v>1090</v>
      </c>
      <c r="M126" s="16" t="s">
        <v>1092</v>
      </c>
      <c r="R126" s="16" t="s">
        <v>1092</v>
      </c>
      <c r="Y126" s="16" t="s">
        <v>1031</v>
      </c>
      <c r="Z126" s="16" t="s">
        <v>1031</v>
      </c>
    </row>
    <row r="127" spans="1:26" s="17" customFormat="1" ht="12" customHeight="1">
      <c r="A127" s="17">
        <v>159</v>
      </c>
      <c r="B127" s="17" t="s">
        <v>1249</v>
      </c>
      <c r="C127" s="18" t="s">
        <v>1026</v>
      </c>
      <c r="D127" s="16" t="s">
        <v>1051</v>
      </c>
      <c r="E127" s="16" t="s">
        <v>1052</v>
      </c>
      <c r="F127" s="18" t="s">
        <v>1063</v>
      </c>
      <c r="G127" s="16" t="s">
        <v>1115</v>
      </c>
      <c r="H127" s="16" t="s">
        <v>1115</v>
      </c>
      <c r="L127" s="16" t="s">
        <v>1137</v>
      </c>
      <c r="M127" s="16" t="s">
        <v>1136</v>
      </c>
      <c r="R127" s="16" t="s">
        <v>1136</v>
      </c>
      <c r="Y127" s="18" t="s">
        <v>1026</v>
      </c>
      <c r="Z127" s="18" t="s">
        <v>1026</v>
      </c>
    </row>
    <row r="128" spans="1:26" s="17" customFormat="1" ht="12" customHeight="1">
      <c r="A128" s="17">
        <v>160</v>
      </c>
      <c r="B128" s="17" t="s">
        <v>1249</v>
      </c>
      <c r="C128" s="18" t="s">
        <v>1160</v>
      </c>
      <c r="D128" s="16"/>
      <c r="E128" s="16" t="s">
        <v>1127</v>
      </c>
      <c r="F128" s="18" t="s">
        <v>1063</v>
      </c>
      <c r="G128" s="16" t="s">
        <v>1115</v>
      </c>
      <c r="H128" s="16" t="s">
        <v>1115</v>
      </c>
      <c r="L128" s="16" t="s">
        <v>1069</v>
      </c>
      <c r="M128" s="16" t="s">
        <v>1161</v>
      </c>
      <c r="R128" s="16" t="s">
        <v>1161</v>
      </c>
      <c r="Y128" s="18" t="s">
        <v>1160</v>
      </c>
      <c r="Z128" s="18" t="s">
        <v>1160</v>
      </c>
    </row>
    <row r="129" spans="1:26" s="17" customFormat="1" ht="12" customHeight="1">
      <c r="A129" s="17">
        <v>161</v>
      </c>
      <c r="B129" s="17" t="s">
        <v>1249</v>
      </c>
      <c r="C129" s="18" t="s">
        <v>1027</v>
      </c>
      <c r="D129" s="16" t="s">
        <v>1116</v>
      </c>
      <c r="E129" s="17" t="s">
        <v>1129</v>
      </c>
      <c r="F129" s="16" t="s">
        <v>1063</v>
      </c>
      <c r="G129" s="16" t="s">
        <v>1117</v>
      </c>
      <c r="H129" s="16" t="s">
        <v>1117</v>
      </c>
      <c r="L129" s="17" t="s">
        <v>1103</v>
      </c>
      <c r="M129" s="16" t="s">
        <v>1130</v>
      </c>
      <c r="R129" s="16" t="s">
        <v>1130</v>
      </c>
      <c r="Y129" s="18" t="s">
        <v>1027</v>
      </c>
      <c r="Z129" s="18" t="s">
        <v>1027</v>
      </c>
    </row>
    <row r="130" spans="1:26" s="17" customFormat="1" ht="12" customHeight="1">
      <c r="A130" s="17">
        <v>162</v>
      </c>
      <c r="B130" s="17" t="s">
        <v>1249</v>
      </c>
      <c r="C130" s="18" t="s">
        <v>1109</v>
      </c>
      <c r="D130" s="16" t="s">
        <v>1128</v>
      </c>
      <c r="E130" s="17" t="s">
        <v>1129</v>
      </c>
      <c r="F130" s="16" t="s">
        <v>1063</v>
      </c>
      <c r="G130" s="16" t="s">
        <v>1001</v>
      </c>
      <c r="H130" s="16" t="s">
        <v>1001</v>
      </c>
      <c r="L130" s="17" t="s">
        <v>1103</v>
      </c>
      <c r="M130" s="16" t="s">
        <v>1131</v>
      </c>
      <c r="R130" s="16" t="s">
        <v>1131</v>
      </c>
      <c r="Y130" s="18" t="s">
        <v>1109</v>
      </c>
      <c r="Z130" s="18" t="s">
        <v>1109</v>
      </c>
    </row>
    <row r="131" spans="1:26" s="17" customFormat="1" ht="12" customHeight="1">
      <c r="A131" s="17">
        <v>163</v>
      </c>
      <c r="B131" s="17" t="s">
        <v>1249</v>
      </c>
      <c r="C131" s="17" t="s">
        <v>1083</v>
      </c>
      <c r="E131" s="16" t="s">
        <v>1085</v>
      </c>
      <c r="F131" s="18" t="s">
        <v>1063</v>
      </c>
      <c r="G131" s="18" t="s">
        <v>1008</v>
      </c>
      <c r="H131" s="18" t="s">
        <v>1008</v>
      </c>
      <c r="L131" s="17" t="s">
        <v>1084</v>
      </c>
      <c r="M131" s="16" t="s">
        <v>1086</v>
      </c>
      <c r="R131" s="16" t="s">
        <v>1086</v>
      </c>
      <c r="Y131" s="17" t="s">
        <v>1083</v>
      </c>
      <c r="Z131" s="17" t="s">
        <v>1083</v>
      </c>
    </row>
    <row r="132" spans="1:26" s="7" customFormat="1" ht="12" customHeight="1">
      <c r="A132">
        <v>164</v>
      </c>
      <c r="B132" s="9" t="s">
        <v>1250</v>
      </c>
      <c r="C132" s="7" t="s">
        <v>1184</v>
      </c>
      <c r="E132" s="7" t="s">
        <v>1191</v>
      </c>
      <c r="F132" s="8" t="s">
        <v>1060</v>
      </c>
      <c r="G132" s="9" t="s">
        <v>1173</v>
      </c>
      <c r="H132" s="9" t="s">
        <v>1173</v>
      </c>
      <c r="L132" s="9" t="s">
        <v>1186</v>
      </c>
      <c r="M132" s="7" t="s">
        <v>1185</v>
      </c>
      <c r="R132" s="7" t="s">
        <v>1185</v>
      </c>
    </row>
    <row r="133" spans="1:26" s="7" customFormat="1" ht="12" customHeight="1">
      <c r="A133">
        <v>165</v>
      </c>
      <c r="B133" s="9" t="s">
        <v>1250</v>
      </c>
      <c r="C133" s="7" t="s">
        <v>1187</v>
      </c>
      <c r="E133" s="7" t="s">
        <v>1192</v>
      </c>
      <c r="F133" s="8" t="s">
        <v>1060</v>
      </c>
      <c r="G133" s="9" t="s">
        <v>1173</v>
      </c>
      <c r="H133" s="9" t="s">
        <v>1173</v>
      </c>
      <c r="L133" s="9" t="s">
        <v>1186</v>
      </c>
      <c r="M133" s="7" t="s">
        <v>1188</v>
      </c>
      <c r="R133" s="7" t="s">
        <v>1188</v>
      </c>
    </row>
    <row r="134" spans="1:26" s="7" customFormat="1" ht="12" customHeight="1">
      <c r="A134">
        <v>166</v>
      </c>
      <c r="B134" s="9" t="s">
        <v>1250</v>
      </c>
      <c r="C134" s="7" t="s">
        <v>1189</v>
      </c>
      <c r="E134" s="7" t="s">
        <v>1193</v>
      </c>
      <c r="F134" s="8" t="s">
        <v>1060</v>
      </c>
      <c r="G134" s="9" t="s">
        <v>1173</v>
      </c>
      <c r="H134" s="9" t="s">
        <v>1173</v>
      </c>
      <c r="L134" s="9" t="s">
        <v>1186</v>
      </c>
      <c r="M134" s="7" t="s">
        <v>1190</v>
      </c>
      <c r="R134" s="7" t="s">
        <v>1190</v>
      </c>
    </row>
    <row r="135" spans="1:26" s="7" customFormat="1" ht="12" customHeight="1">
      <c r="A135">
        <v>167</v>
      </c>
      <c r="B135" s="9" t="s">
        <v>1250</v>
      </c>
      <c r="C135" s="7" t="s">
        <v>1195</v>
      </c>
      <c r="E135" s="7" t="s">
        <v>1196</v>
      </c>
      <c r="F135" s="8" t="s">
        <v>1060</v>
      </c>
      <c r="G135" s="10" t="s">
        <v>1002</v>
      </c>
      <c r="H135" s="10" t="s">
        <v>1002</v>
      </c>
      <c r="L135" s="7" t="s">
        <v>1200</v>
      </c>
      <c r="M135" s="7" t="s">
        <v>1197</v>
      </c>
      <c r="R135" s="7" t="s">
        <v>1197</v>
      </c>
    </row>
    <row r="136" spans="1:26" s="7" customFormat="1" ht="12" customHeight="1">
      <c r="A136">
        <v>168</v>
      </c>
      <c r="B136" s="9" t="s">
        <v>1250</v>
      </c>
      <c r="C136" s="7" t="s">
        <v>1198</v>
      </c>
      <c r="E136" s="7" t="s">
        <v>1196</v>
      </c>
      <c r="F136" s="8" t="s">
        <v>1060</v>
      </c>
      <c r="G136" s="10" t="s">
        <v>1002</v>
      </c>
      <c r="H136" s="10" t="s">
        <v>1002</v>
      </c>
      <c r="L136" s="7" t="s">
        <v>1200</v>
      </c>
      <c r="M136" s="7" t="s">
        <v>1199</v>
      </c>
      <c r="R136" s="7" t="s">
        <v>1199</v>
      </c>
    </row>
    <row r="137" spans="1:26" s="7" customFormat="1" ht="12" customHeight="1">
      <c r="A137">
        <v>169</v>
      </c>
      <c r="B137" s="9" t="s">
        <v>1250</v>
      </c>
      <c r="C137" s="9" t="s">
        <v>1201</v>
      </c>
      <c r="E137" s="9" t="s">
        <v>1208</v>
      </c>
      <c r="F137" s="8" t="s">
        <v>1060</v>
      </c>
      <c r="G137" s="9" t="s">
        <v>1194</v>
      </c>
      <c r="H137" s="9" t="s">
        <v>1194</v>
      </c>
      <c r="L137" s="9" t="s">
        <v>1206</v>
      </c>
      <c r="M137" s="7" t="s">
        <v>1203</v>
      </c>
      <c r="R137" s="7" t="s">
        <v>1203</v>
      </c>
    </row>
    <row r="138" spans="1:26" s="7" customFormat="1" ht="12" customHeight="1">
      <c r="A138">
        <v>170</v>
      </c>
      <c r="B138" s="9" t="s">
        <v>1250</v>
      </c>
      <c r="C138" s="7" t="s">
        <v>1204</v>
      </c>
      <c r="E138" s="9" t="s">
        <v>1207</v>
      </c>
      <c r="F138" s="8" t="s">
        <v>1060</v>
      </c>
      <c r="G138" s="9" t="s">
        <v>1194</v>
      </c>
      <c r="H138" s="9" t="s">
        <v>1194</v>
      </c>
      <c r="L138" s="9" t="s">
        <v>1206</v>
      </c>
      <c r="M138" s="7" t="s">
        <v>1202</v>
      </c>
      <c r="R138" s="7" t="s">
        <v>1202</v>
      </c>
    </row>
    <row r="139" spans="1:26" s="7" customFormat="1" ht="12" customHeight="1">
      <c r="A139">
        <v>171</v>
      </c>
      <c r="B139" s="9" t="s">
        <v>1250</v>
      </c>
      <c r="C139" s="9" t="s">
        <v>1212</v>
      </c>
      <c r="E139" s="9" t="s">
        <v>1172</v>
      </c>
      <c r="F139" s="8" t="s">
        <v>1060</v>
      </c>
      <c r="G139" s="8" t="s">
        <v>1241</v>
      </c>
      <c r="H139" s="8" t="s">
        <v>640</v>
      </c>
      <c r="L139" s="7" t="s">
        <v>1217</v>
      </c>
      <c r="M139" s="7" t="s">
        <v>1209</v>
      </c>
      <c r="R139" s="7" t="s">
        <v>1209</v>
      </c>
    </row>
    <row r="140" spans="1:26" s="7" customFormat="1" ht="12" customHeight="1">
      <c r="A140">
        <v>172</v>
      </c>
      <c r="B140" s="9" t="s">
        <v>1250</v>
      </c>
      <c r="C140" s="9" t="s">
        <v>1213</v>
      </c>
      <c r="E140" s="7" t="s">
        <v>1214</v>
      </c>
      <c r="F140" s="8" t="s">
        <v>42</v>
      </c>
      <c r="G140" s="8" t="s">
        <v>1241</v>
      </c>
      <c r="H140" s="8" t="s">
        <v>640</v>
      </c>
      <c r="L140" s="7" t="s">
        <v>1217</v>
      </c>
      <c r="M140" s="7" t="s">
        <v>1210</v>
      </c>
      <c r="R140" s="7" t="s">
        <v>1210</v>
      </c>
    </row>
    <row r="141" spans="1:26" s="7" customFormat="1" ht="12" customHeight="1">
      <c r="A141">
        <v>173</v>
      </c>
      <c r="B141" s="9" t="s">
        <v>1250</v>
      </c>
      <c r="C141" s="9" t="s">
        <v>1215</v>
      </c>
      <c r="E141" s="7" t="s">
        <v>1216</v>
      </c>
      <c r="F141" s="8" t="s">
        <v>42</v>
      </c>
      <c r="G141" s="8" t="s">
        <v>1241</v>
      </c>
      <c r="H141" s="8" t="s">
        <v>640</v>
      </c>
      <c r="L141" s="7" t="s">
        <v>1217</v>
      </c>
      <c r="M141" s="7" t="s">
        <v>1211</v>
      </c>
      <c r="R141" s="7" t="s">
        <v>1211</v>
      </c>
    </row>
    <row r="142" spans="1:26" s="7" customFormat="1" ht="12" customHeight="1">
      <c r="A142">
        <v>174</v>
      </c>
      <c r="B142" s="9" t="s">
        <v>1250</v>
      </c>
      <c r="C142" s="7" t="s">
        <v>1218</v>
      </c>
      <c r="E142" s="7" t="s">
        <v>1219</v>
      </c>
      <c r="F142" s="8" t="s">
        <v>1060</v>
      </c>
      <c r="G142" s="8" t="s">
        <v>1247</v>
      </c>
      <c r="H142" s="8" t="s">
        <v>1000</v>
      </c>
      <c r="L142" s="9" t="s">
        <v>1236</v>
      </c>
      <c r="M142" s="7" t="s">
        <v>1223</v>
      </c>
      <c r="R142" s="7" t="s">
        <v>1223</v>
      </c>
    </row>
    <row r="143" spans="1:26" s="7" customFormat="1" ht="12" customHeight="1">
      <c r="A143">
        <v>175</v>
      </c>
      <c r="B143" s="9" t="s">
        <v>1250</v>
      </c>
      <c r="C143" s="7" t="s">
        <v>1220</v>
      </c>
      <c r="E143" s="7" t="s">
        <v>859</v>
      </c>
      <c r="F143" s="8" t="s">
        <v>42</v>
      </c>
      <c r="G143" s="8" t="s">
        <v>1247</v>
      </c>
      <c r="H143" s="8" t="s">
        <v>1000</v>
      </c>
      <c r="L143" s="9" t="s">
        <v>1235</v>
      </c>
      <c r="M143" s="7" t="s">
        <v>1224</v>
      </c>
      <c r="R143" s="7" t="s">
        <v>1224</v>
      </c>
    </row>
    <row r="144" spans="1:26" s="7" customFormat="1" ht="12" customHeight="1">
      <c r="A144">
        <v>176</v>
      </c>
      <c r="B144" s="9" t="s">
        <v>1250</v>
      </c>
      <c r="C144" s="7" t="s">
        <v>1221</v>
      </c>
      <c r="E144" s="7" t="s">
        <v>1222</v>
      </c>
      <c r="F144" s="8" t="s">
        <v>42</v>
      </c>
      <c r="G144" s="8" t="s">
        <v>1247</v>
      </c>
      <c r="H144" s="8" t="s">
        <v>1000</v>
      </c>
      <c r="L144" s="9" t="s">
        <v>1235</v>
      </c>
      <c r="M144" s="7" t="s">
        <v>1225</v>
      </c>
      <c r="R144" s="7" t="s">
        <v>1225</v>
      </c>
    </row>
    <row r="145" spans="1:18" s="7" customFormat="1" ht="12" customHeight="1">
      <c r="A145">
        <v>177</v>
      </c>
      <c r="B145" s="9" t="s">
        <v>1250</v>
      </c>
      <c r="C145" s="7" t="s">
        <v>1229</v>
      </c>
      <c r="E145" s="7" t="s">
        <v>1232</v>
      </c>
      <c r="F145" s="8" t="s">
        <v>42</v>
      </c>
      <c r="G145" s="8" t="s">
        <v>1247</v>
      </c>
      <c r="H145" s="8" t="s">
        <v>1000</v>
      </c>
      <c r="L145" s="9" t="s">
        <v>1235</v>
      </c>
      <c r="M145" s="7" t="s">
        <v>1226</v>
      </c>
      <c r="R145" s="7" t="s">
        <v>1226</v>
      </c>
    </row>
    <row r="146" spans="1:18" s="7" customFormat="1" ht="12" customHeight="1">
      <c r="A146">
        <v>178</v>
      </c>
      <c r="B146" s="9" t="s">
        <v>1250</v>
      </c>
      <c r="C146" s="7" t="s">
        <v>1230</v>
      </c>
      <c r="E146" s="7" t="s">
        <v>1233</v>
      </c>
      <c r="F146" s="8" t="s">
        <v>42</v>
      </c>
      <c r="G146" s="8" t="s">
        <v>1247</v>
      </c>
      <c r="H146" s="8" t="s">
        <v>1000</v>
      </c>
      <c r="L146" s="9" t="s">
        <v>1236</v>
      </c>
      <c r="M146" s="7" t="s">
        <v>1227</v>
      </c>
      <c r="R146" s="7" t="s">
        <v>1227</v>
      </c>
    </row>
    <row r="147" spans="1:18" s="7" customFormat="1" ht="12" customHeight="1">
      <c r="A147">
        <v>179</v>
      </c>
      <c r="B147" s="9" t="s">
        <v>1250</v>
      </c>
      <c r="C147" s="7" t="s">
        <v>1231</v>
      </c>
      <c r="E147" s="7" t="s">
        <v>1234</v>
      </c>
      <c r="F147" s="8" t="s">
        <v>1060</v>
      </c>
      <c r="G147" s="8" t="s">
        <v>1247</v>
      </c>
      <c r="H147" s="8" t="s">
        <v>1000</v>
      </c>
      <c r="L147" s="9" t="s">
        <v>1236</v>
      </c>
      <c r="M147" s="7" t="s">
        <v>1228</v>
      </c>
      <c r="R147" s="7" t="s">
        <v>1228</v>
      </c>
    </row>
    <row r="148" spans="1:18" s="7" customFormat="1" ht="12" customHeight="1">
      <c r="A148">
        <v>180</v>
      </c>
      <c r="B148" s="9" t="s">
        <v>1250</v>
      </c>
      <c r="C148" s="7" t="s">
        <v>1237</v>
      </c>
      <c r="E148" s="9" t="s">
        <v>1255</v>
      </c>
      <c r="F148" s="8" t="s">
        <v>1060</v>
      </c>
      <c r="G148" s="8" t="s">
        <v>1247</v>
      </c>
      <c r="H148" s="8" t="s">
        <v>1000</v>
      </c>
      <c r="L148" s="7" t="s">
        <v>1217</v>
      </c>
      <c r="M148" s="7" t="s">
        <v>1238</v>
      </c>
      <c r="R148" s="7" t="s">
        <v>1238</v>
      </c>
    </row>
    <row r="149" spans="1:18" s="7" customFormat="1" ht="12" customHeight="1">
      <c r="A149">
        <v>181</v>
      </c>
      <c r="B149" s="9" t="s">
        <v>1250</v>
      </c>
      <c r="C149" s="7" t="s">
        <v>1256</v>
      </c>
      <c r="E149" s="7" t="s">
        <v>1257</v>
      </c>
      <c r="F149" s="9" t="s">
        <v>1258</v>
      </c>
      <c r="G149" s="9" t="s">
        <v>1246</v>
      </c>
      <c r="H149" s="9" t="s">
        <v>1259</v>
      </c>
      <c r="L149" s="9" t="s">
        <v>1260</v>
      </c>
      <c r="M149" s="7" t="s">
        <v>1264</v>
      </c>
      <c r="R149" s="7" t="s">
        <v>1264</v>
      </c>
    </row>
    <row r="150" spans="1:18" s="7" customFormat="1" ht="12" customHeight="1">
      <c r="A150">
        <v>182</v>
      </c>
      <c r="B150" s="9" t="s">
        <v>1250</v>
      </c>
      <c r="C150" s="7" t="s">
        <v>1261</v>
      </c>
      <c r="E150" s="7" t="s">
        <v>1262</v>
      </c>
      <c r="F150" s="8" t="s">
        <v>1258</v>
      </c>
      <c r="G150" s="8" t="s">
        <v>1246</v>
      </c>
      <c r="H150" s="8" t="s">
        <v>859</v>
      </c>
      <c r="L150" s="9" t="s">
        <v>1265</v>
      </c>
      <c r="M150" s="7" t="s">
        <v>1263</v>
      </c>
      <c r="R150" s="7" t="s">
        <v>1263</v>
      </c>
    </row>
    <row r="151" spans="1:18" ht="12" customHeight="1"/>
    <row r="152" spans="1:18" ht="12" customHeight="1"/>
  </sheetData>
  <autoFilter ref="A1:AB181" xr:uid="{00000000-0001-0000-0000-000000000000}">
    <sortState xmlns:xlrd2="http://schemas.microsoft.com/office/spreadsheetml/2017/richdata2" ref="A2:AB181">
      <sortCondition ref="A1:A181"/>
    </sortState>
  </autoFilter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85"/>
  <sheetViews>
    <sheetView tabSelected="1" zoomScale="85" zoomScaleNormal="85" workbookViewId="0">
      <selection activeCell="E15" sqref="E15"/>
    </sheetView>
  </sheetViews>
  <sheetFormatPr defaultColWidth="12.6328125" defaultRowHeight="15.75" customHeight="1"/>
  <cols>
    <col min="1" max="1" width="12.6328125" style="17"/>
    <col min="3" max="3" width="22.453125" bestFit="1" customWidth="1"/>
    <col min="4" max="4" width="22.36328125" customWidth="1"/>
    <col min="5" max="5" width="35.6328125" customWidth="1"/>
    <col min="6" max="6" width="24.08984375" customWidth="1"/>
    <col min="7" max="7" width="27" customWidth="1"/>
    <col min="8" max="8" width="38.08984375" bestFit="1" customWidth="1"/>
    <col min="12" max="12" width="35.453125" customWidth="1"/>
  </cols>
  <sheetData>
    <row r="1" spans="1:28" ht="12" customHeight="1">
      <c r="A1" s="16" t="s">
        <v>1253</v>
      </c>
      <c r="B1" s="11" t="s">
        <v>1244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1239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s="12" customFormat="1" ht="12" customHeight="1">
      <c r="A2" s="17">
        <v>1</v>
      </c>
      <c r="B2" s="13" t="s">
        <v>1276</v>
      </c>
      <c r="C2" s="14" t="s">
        <v>1053</v>
      </c>
      <c r="D2" s="14"/>
      <c r="E2" s="14" t="s">
        <v>27</v>
      </c>
      <c r="F2" s="14" t="s">
        <v>28</v>
      </c>
      <c r="G2" s="14"/>
      <c r="H2" s="14" t="s">
        <v>29</v>
      </c>
      <c r="M2" s="14" t="s">
        <v>30</v>
      </c>
      <c r="N2" s="14" t="s">
        <v>31</v>
      </c>
      <c r="O2" s="14" t="s">
        <v>32</v>
      </c>
      <c r="P2" s="14" t="s">
        <v>33</v>
      </c>
      <c r="Q2" s="14" t="s">
        <v>34</v>
      </c>
      <c r="R2" s="14" t="s">
        <v>32</v>
      </c>
      <c r="U2" s="14" t="s">
        <v>25</v>
      </c>
      <c r="V2" s="14" t="s">
        <v>35</v>
      </c>
      <c r="W2" s="14" t="s">
        <v>36</v>
      </c>
      <c r="X2" s="14" t="b">
        <v>1</v>
      </c>
      <c r="Y2" s="14" t="s">
        <v>26</v>
      </c>
      <c r="Z2" s="14" t="s">
        <v>26</v>
      </c>
      <c r="AA2" s="14" t="s">
        <v>37</v>
      </c>
      <c r="AB2" s="14" t="s">
        <v>38</v>
      </c>
    </row>
    <row r="3" spans="1:28" s="17" customFormat="1" ht="12" customHeight="1">
      <c r="A3" s="17">
        <v>2</v>
      </c>
      <c r="B3" s="16" t="s">
        <v>1250</v>
      </c>
      <c r="C3" s="18" t="s">
        <v>40</v>
      </c>
      <c r="D3" s="18"/>
      <c r="E3" s="18" t="s">
        <v>41</v>
      </c>
      <c r="F3" s="18" t="s">
        <v>42</v>
      </c>
      <c r="G3" s="18" t="s">
        <v>1241</v>
      </c>
      <c r="H3" s="18" t="s">
        <v>640</v>
      </c>
      <c r="M3" s="18" t="s">
        <v>43</v>
      </c>
      <c r="N3" s="18" t="s">
        <v>44</v>
      </c>
      <c r="O3" s="18" t="s">
        <v>45</v>
      </c>
      <c r="P3" s="18" t="s">
        <v>46</v>
      </c>
      <c r="Q3" s="18" t="s">
        <v>47</v>
      </c>
      <c r="R3" s="18" t="s">
        <v>45</v>
      </c>
      <c r="U3" s="18" t="s">
        <v>39</v>
      </c>
      <c r="V3" s="18" t="s">
        <v>48</v>
      </c>
      <c r="W3" s="18" t="s">
        <v>49</v>
      </c>
      <c r="X3" s="18" t="b">
        <v>1</v>
      </c>
      <c r="Y3" s="18" t="s">
        <v>40</v>
      </c>
      <c r="Z3" s="18" t="s">
        <v>40</v>
      </c>
      <c r="AA3" s="18" t="s">
        <v>50</v>
      </c>
      <c r="AB3" s="18" t="s">
        <v>51</v>
      </c>
    </row>
    <row r="4" spans="1:28" s="12" customFormat="1" ht="12" customHeight="1">
      <c r="A4" s="17">
        <v>3</v>
      </c>
      <c r="B4" s="13" t="s">
        <v>1276</v>
      </c>
      <c r="C4" s="14" t="s">
        <v>1054</v>
      </c>
      <c r="D4" s="14"/>
      <c r="E4" s="14" t="s">
        <v>54</v>
      </c>
      <c r="F4" s="14" t="s">
        <v>28</v>
      </c>
      <c r="G4" s="14"/>
      <c r="H4" s="14" t="s">
        <v>29</v>
      </c>
      <c r="N4" s="14" t="s">
        <v>55</v>
      </c>
      <c r="O4" s="14" t="s">
        <v>56</v>
      </c>
      <c r="P4" s="14" t="s">
        <v>57</v>
      </c>
      <c r="Q4" s="14" t="s">
        <v>58</v>
      </c>
      <c r="R4" s="14" t="s">
        <v>56</v>
      </c>
      <c r="U4" s="14" t="s">
        <v>52</v>
      </c>
      <c r="V4" s="14" t="s">
        <v>52</v>
      </c>
      <c r="W4" s="14" t="s">
        <v>59</v>
      </c>
      <c r="X4" s="14" t="b">
        <v>1</v>
      </c>
      <c r="Y4" s="14" t="s">
        <v>53</v>
      </c>
      <c r="Z4" s="14" t="s">
        <v>53</v>
      </c>
      <c r="AA4" s="14" t="s">
        <v>37</v>
      </c>
      <c r="AB4" s="14" t="s">
        <v>60</v>
      </c>
    </row>
    <row r="5" spans="1:28" s="17" customFormat="1" ht="12" customHeight="1">
      <c r="A5" s="17">
        <v>4</v>
      </c>
      <c r="B5" s="16" t="s">
        <v>1250</v>
      </c>
      <c r="C5" s="18" t="s">
        <v>62</v>
      </c>
      <c r="D5" s="18"/>
      <c r="E5" s="18" t="s">
        <v>63</v>
      </c>
      <c r="F5" s="18" t="s">
        <v>28</v>
      </c>
      <c r="G5" s="19" t="s">
        <v>1001</v>
      </c>
      <c r="H5" s="19" t="s">
        <v>1001</v>
      </c>
      <c r="M5" s="18" t="s">
        <v>64</v>
      </c>
      <c r="Q5" s="18" t="s">
        <v>65</v>
      </c>
      <c r="R5" s="18" t="s">
        <v>64</v>
      </c>
      <c r="U5" s="18" t="s">
        <v>61</v>
      </c>
      <c r="V5" s="18" t="s">
        <v>66</v>
      </c>
      <c r="W5" s="18" t="s">
        <v>67</v>
      </c>
      <c r="X5" s="18" t="b">
        <v>0</v>
      </c>
      <c r="Y5" s="18" t="s">
        <v>62</v>
      </c>
      <c r="Z5" s="18" t="s">
        <v>62</v>
      </c>
      <c r="AA5" s="18" t="s">
        <v>68</v>
      </c>
      <c r="AB5" s="18" t="s">
        <v>69</v>
      </c>
    </row>
    <row r="6" spans="1:28" s="17" customFormat="1" ht="12" customHeight="1">
      <c r="A6" s="17">
        <v>5</v>
      </c>
      <c r="B6" s="16" t="s">
        <v>1250</v>
      </c>
      <c r="C6" s="18" t="s">
        <v>1007</v>
      </c>
      <c r="D6" s="18"/>
      <c r="E6" s="18" t="s">
        <v>72</v>
      </c>
      <c r="F6" s="18" t="s">
        <v>28</v>
      </c>
      <c r="G6" s="18" t="s">
        <v>29</v>
      </c>
      <c r="H6" s="18" t="s">
        <v>29</v>
      </c>
      <c r="M6" s="18" t="s">
        <v>73</v>
      </c>
      <c r="N6" s="18" t="s">
        <v>1004</v>
      </c>
      <c r="O6" s="18" t="s">
        <v>74</v>
      </c>
      <c r="P6" s="18" t="s">
        <v>75</v>
      </c>
      <c r="Q6" s="18" t="s">
        <v>76</v>
      </c>
      <c r="R6" s="18" t="s">
        <v>74</v>
      </c>
      <c r="U6" s="18" t="s">
        <v>70</v>
      </c>
      <c r="V6" s="18" t="s">
        <v>77</v>
      </c>
      <c r="W6" s="18" t="s">
        <v>78</v>
      </c>
      <c r="X6" s="18" t="b">
        <v>1</v>
      </c>
      <c r="Y6" s="18" t="s">
        <v>71</v>
      </c>
      <c r="Z6" s="18" t="s">
        <v>71</v>
      </c>
      <c r="AA6" s="18" t="s">
        <v>37</v>
      </c>
      <c r="AB6" s="18" t="s">
        <v>79</v>
      </c>
    </row>
    <row r="7" spans="1:28" s="17" customFormat="1" ht="12" customHeight="1">
      <c r="A7" s="17">
        <v>6</v>
      </c>
      <c r="B7" s="16" t="s">
        <v>1250</v>
      </c>
      <c r="C7" s="18" t="s">
        <v>81</v>
      </c>
      <c r="D7" s="18"/>
      <c r="E7" s="18" t="s">
        <v>82</v>
      </c>
      <c r="F7" s="18" t="s">
        <v>42</v>
      </c>
      <c r="G7" s="18" t="s">
        <v>1247</v>
      </c>
      <c r="H7" s="19" t="s">
        <v>1000</v>
      </c>
      <c r="M7" s="18" t="s">
        <v>83</v>
      </c>
      <c r="Q7" s="18" t="s">
        <v>84</v>
      </c>
      <c r="R7" s="18" t="s">
        <v>83</v>
      </c>
      <c r="U7" s="18" t="s">
        <v>80</v>
      </c>
      <c r="V7" s="18" t="s">
        <v>85</v>
      </c>
      <c r="W7" s="18" t="s">
        <v>86</v>
      </c>
      <c r="X7" s="18" t="b">
        <v>0</v>
      </c>
      <c r="Y7" s="18" t="s">
        <v>81</v>
      </c>
      <c r="Z7" s="18" t="s">
        <v>81</v>
      </c>
      <c r="AA7" s="18" t="s">
        <v>87</v>
      </c>
      <c r="AB7" s="18" t="s">
        <v>88</v>
      </c>
    </row>
    <row r="8" spans="1:28" s="12" customFormat="1" ht="12" customHeight="1">
      <c r="A8" s="17">
        <v>7</v>
      </c>
      <c r="B8" s="13" t="s">
        <v>1276</v>
      </c>
      <c r="C8" s="14" t="s">
        <v>90</v>
      </c>
      <c r="D8" s="14"/>
      <c r="E8" s="14" t="s">
        <v>91</v>
      </c>
      <c r="F8" s="14" t="s">
        <v>92</v>
      </c>
      <c r="G8" s="14" t="s">
        <v>29</v>
      </c>
      <c r="H8" s="14" t="s">
        <v>29</v>
      </c>
      <c r="M8" s="14" t="s">
        <v>93</v>
      </c>
      <c r="N8" s="14" t="s">
        <v>94</v>
      </c>
      <c r="O8" s="14" t="s">
        <v>95</v>
      </c>
      <c r="P8" s="14" t="s">
        <v>96</v>
      </c>
      <c r="Q8" s="14" t="s">
        <v>97</v>
      </c>
      <c r="R8" s="14" t="s">
        <v>95</v>
      </c>
      <c r="U8" s="14" t="s">
        <v>89</v>
      </c>
      <c r="V8" s="14" t="s">
        <v>98</v>
      </c>
      <c r="W8" s="14" t="s">
        <v>99</v>
      </c>
      <c r="X8" s="14" t="b">
        <v>1</v>
      </c>
      <c r="Y8" s="14" t="s">
        <v>90</v>
      </c>
      <c r="Z8" s="14" t="s">
        <v>90</v>
      </c>
      <c r="AA8" s="14" t="s">
        <v>37</v>
      </c>
      <c r="AB8" s="14" t="s">
        <v>100</v>
      </c>
    </row>
    <row r="9" spans="1:28" s="12" customFormat="1" ht="12" customHeight="1">
      <c r="A9" s="17">
        <v>8</v>
      </c>
      <c r="B9" s="13" t="s">
        <v>1276</v>
      </c>
      <c r="C9" s="14" t="s">
        <v>102</v>
      </c>
      <c r="D9" s="14"/>
      <c r="E9" s="14" t="s">
        <v>91</v>
      </c>
      <c r="F9" s="14" t="s">
        <v>92</v>
      </c>
      <c r="G9" s="14" t="s">
        <v>29</v>
      </c>
      <c r="H9" s="14" t="s">
        <v>29</v>
      </c>
      <c r="M9" s="14" t="s">
        <v>103</v>
      </c>
      <c r="Q9" s="14" t="s">
        <v>104</v>
      </c>
      <c r="R9" s="14" t="s">
        <v>103</v>
      </c>
      <c r="U9" s="14" t="s">
        <v>101</v>
      </c>
      <c r="V9" s="14" t="s">
        <v>105</v>
      </c>
      <c r="W9" s="14" t="s">
        <v>106</v>
      </c>
      <c r="X9" s="14" t="b">
        <v>0</v>
      </c>
      <c r="Y9" s="14" t="s">
        <v>102</v>
      </c>
      <c r="Z9" s="14" t="s">
        <v>102</v>
      </c>
      <c r="AA9" s="14" t="s">
        <v>37</v>
      </c>
      <c r="AB9" s="14" t="s">
        <v>107</v>
      </c>
    </row>
    <row r="10" spans="1:28" s="17" customFormat="1" ht="12" customHeight="1">
      <c r="A10" s="17">
        <v>9</v>
      </c>
      <c r="B10" s="16" t="s">
        <v>1250</v>
      </c>
      <c r="C10" s="18" t="s">
        <v>109</v>
      </c>
      <c r="D10" s="18"/>
      <c r="E10" s="18" t="s">
        <v>91</v>
      </c>
      <c r="F10" s="18" t="s">
        <v>92</v>
      </c>
      <c r="G10" s="18" t="s">
        <v>110</v>
      </c>
      <c r="H10" s="18" t="s">
        <v>110</v>
      </c>
      <c r="M10" s="18" t="s">
        <v>111</v>
      </c>
      <c r="Q10" s="18" t="s">
        <v>112</v>
      </c>
      <c r="R10" s="18" t="s">
        <v>111</v>
      </c>
      <c r="U10" s="18" t="s">
        <v>108</v>
      </c>
      <c r="V10" s="18" t="s">
        <v>113</v>
      </c>
      <c r="W10" s="18" t="s">
        <v>114</v>
      </c>
      <c r="X10" s="18" t="b">
        <v>0</v>
      </c>
      <c r="Y10" s="18" t="s">
        <v>109</v>
      </c>
      <c r="Z10" s="18" t="s">
        <v>109</v>
      </c>
      <c r="AA10" s="18" t="s">
        <v>68</v>
      </c>
      <c r="AB10" s="18" t="s">
        <v>115</v>
      </c>
    </row>
    <row r="11" spans="1:28" s="17" customFormat="1" ht="12" customHeight="1">
      <c r="A11" s="17">
        <v>10</v>
      </c>
      <c r="B11" s="16" t="s">
        <v>1250</v>
      </c>
      <c r="C11" s="18" t="s">
        <v>117</v>
      </c>
      <c r="D11" s="18"/>
      <c r="E11" s="18" t="s">
        <v>91</v>
      </c>
      <c r="F11" s="18" t="s">
        <v>92</v>
      </c>
      <c r="G11" s="18" t="s">
        <v>789</v>
      </c>
      <c r="H11" s="18" t="s">
        <v>789</v>
      </c>
      <c r="M11" s="18" t="s">
        <v>118</v>
      </c>
      <c r="Q11" s="18" t="s">
        <v>97</v>
      </c>
      <c r="R11" s="18" t="s">
        <v>118</v>
      </c>
      <c r="U11" s="18" t="s">
        <v>116</v>
      </c>
      <c r="V11" s="18" t="s">
        <v>119</v>
      </c>
      <c r="W11" s="18" t="s">
        <v>120</v>
      </c>
      <c r="X11" s="18" t="b">
        <v>0</v>
      </c>
      <c r="Y11" s="18" t="s">
        <v>117</v>
      </c>
      <c r="Z11" s="18" t="s">
        <v>117</v>
      </c>
      <c r="AA11" s="18" t="s">
        <v>121</v>
      </c>
      <c r="AB11" s="18" t="s">
        <v>122</v>
      </c>
    </row>
    <row r="12" spans="1:28" s="17" customFormat="1" ht="12" customHeight="1">
      <c r="A12" s="17">
        <v>11</v>
      </c>
      <c r="B12" s="16" t="s">
        <v>1250</v>
      </c>
      <c r="C12" s="18" t="s">
        <v>124</v>
      </c>
      <c r="D12" s="18"/>
      <c r="E12" s="18" t="s">
        <v>91</v>
      </c>
      <c r="F12" s="18" t="s">
        <v>92</v>
      </c>
      <c r="G12" s="18" t="s">
        <v>789</v>
      </c>
      <c r="H12" s="18" t="s">
        <v>789</v>
      </c>
      <c r="M12" s="18" t="s">
        <v>125</v>
      </c>
      <c r="Q12" s="18" t="s">
        <v>97</v>
      </c>
      <c r="R12" s="18" t="s">
        <v>125</v>
      </c>
      <c r="U12" s="18" t="s">
        <v>123</v>
      </c>
      <c r="V12" s="18" t="s">
        <v>126</v>
      </c>
      <c r="W12" s="18" t="s">
        <v>127</v>
      </c>
      <c r="X12" s="18" t="b">
        <v>0</v>
      </c>
      <c r="Y12" s="18" t="s">
        <v>124</v>
      </c>
      <c r="Z12" s="18" t="s">
        <v>124</v>
      </c>
      <c r="AA12" s="18" t="s">
        <v>121</v>
      </c>
      <c r="AB12" s="18" t="s">
        <v>128</v>
      </c>
    </row>
    <row r="13" spans="1:28" s="17" customFormat="1" ht="12" customHeight="1">
      <c r="A13" s="17">
        <v>12</v>
      </c>
      <c r="B13" s="16" t="s">
        <v>1250</v>
      </c>
      <c r="C13" s="18" t="s">
        <v>130</v>
      </c>
      <c r="D13" s="18"/>
      <c r="E13" s="19" t="s">
        <v>999</v>
      </c>
      <c r="F13" s="18" t="s">
        <v>92</v>
      </c>
      <c r="G13" s="18" t="s">
        <v>789</v>
      </c>
      <c r="H13" s="18" t="s">
        <v>789</v>
      </c>
      <c r="M13" s="18" t="s">
        <v>131</v>
      </c>
      <c r="Q13" s="18" t="s">
        <v>132</v>
      </c>
      <c r="R13" s="18" t="s">
        <v>131</v>
      </c>
      <c r="U13" s="18" t="s">
        <v>129</v>
      </c>
      <c r="V13" s="18" t="s">
        <v>133</v>
      </c>
      <c r="W13" s="18" t="s">
        <v>134</v>
      </c>
      <c r="X13" s="18" t="b">
        <v>0</v>
      </c>
      <c r="Y13" s="18" t="s">
        <v>130</v>
      </c>
      <c r="Z13" s="18" t="s">
        <v>130</v>
      </c>
      <c r="AA13" s="18" t="s">
        <v>121</v>
      </c>
      <c r="AB13" s="18" t="s">
        <v>135</v>
      </c>
    </row>
    <row r="14" spans="1:28" s="17" customFormat="1" ht="12" customHeight="1">
      <c r="A14" s="17">
        <v>13</v>
      </c>
      <c r="B14" s="16" t="s">
        <v>1250</v>
      </c>
      <c r="C14" s="18" t="s">
        <v>137</v>
      </c>
      <c r="D14" s="18"/>
      <c r="E14" s="18" t="s">
        <v>138</v>
      </c>
      <c r="F14" s="18" t="s">
        <v>92</v>
      </c>
      <c r="G14" s="18" t="s">
        <v>789</v>
      </c>
      <c r="H14" s="18" t="s">
        <v>789</v>
      </c>
      <c r="M14" s="18" t="s">
        <v>139</v>
      </c>
      <c r="Q14" s="18" t="s">
        <v>140</v>
      </c>
      <c r="R14" s="18" t="s">
        <v>139</v>
      </c>
      <c r="U14" s="18" t="s">
        <v>136</v>
      </c>
      <c r="V14" s="18" t="s">
        <v>141</v>
      </c>
      <c r="W14" s="18" t="s">
        <v>142</v>
      </c>
      <c r="X14" s="18" t="b">
        <v>0</v>
      </c>
      <c r="Y14" s="18" t="s">
        <v>137</v>
      </c>
      <c r="Z14" s="18" t="s">
        <v>137</v>
      </c>
      <c r="AA14" s="18" t="s">
        <v>121</v>
      </c>
      <c r="AB14" s="18" t="s">
        <v>143</v>
      </c>
    </row>
    <row r="15" spans="1:28" s="12" customFormat="1" ht="12" customHeight="1">
      <c r="A15" s="17">
        <v>14</v>
      </c>
      <c r="B15" s="13" t="s">
        <v>1276</v>
      </c>
      <c r="C15" s="14" t="s">
        <v>145</v>
      </c>
      <c r="D15" s="14"/>
      <c r="E15" s="14" t="s">
        <v>146</v>
      </c>
      <c r="F15" s="14" t="s">
        <v>92</v>
      </c>
      <c r="G15" s="14" t="s">
        <v>29</v>
      </c>
      <c r="H15" s="14" t="s">
        <v>29</v>
      </c>
      <c r="M15" s="14" t="s">
        <v>147</v>
      </c>
      <c r="Q15" s="14" t="s">
        <v>148</v>
      </c>
      <c r="R15" s="14" t="s">
        <v>147</v>
      </c>
      <c r="U15" s="14" t="s">
        <v>144</v>
      </c>
      <c r="V15" s="14" t="s">
        <v>149</v>
      </c>
      <c r="W15" s="14" t="s">
        <v>150</v>
      </c>
      <c r="X15" s="14" t="b">
        <v>0</v>
      </c>
      <c r="Y15" s="14" t="s">
        <v>145</v>
      </c>
      <c r="Z15" s="14" t="s">
        <v>145</v>
      </c>
      <c r="AA15" s="14" t="s">
        <v>37</v>
      </c>
      <c r="AB15" s="14" t="s">
        <v>151</v>
      </c>
    </row>
    <row r="16" spans="1:28" s="17" customFormat="1" ht="12" customHeight="1">
      <c r="A16" s="17">
        <v>15</v>
      </c>
      <c r="B16" s="16" t="s">
        <v>1250</v>
      </c>
      <c r="C16" s="18" t="s">
        <v>153</v>
      </c>
      <c r="D16" s="18"/>
      <c r="E16" s="18" t="s">
        <v>1016</v>
      </c>
      <c r="F16" s="18" t="s">
        <v>28</v>
      </c>
      <c r="G16" s="18" t="s">
        <v>29</v>
      </c>
      <c r="H16" s="18" t="s">
        <v>29</v>
      </c>
      <c r="M16" s="18" t="s">
        <v>154</v>
      </c>
      <c r="Q16" s="18" t="s">
        <v>155</v>
      </c>
      <c r="R16" s="18" t="s">
        <v>154</v>
      </c>
      <c r="U16" s="18" t="s">
        <v>152</v>
      </c>
      <c r="V16" s="18" t="s">
        <v>156</v>
      </c>
      <c r="W16" s="18" t="s">
        <v>157</v>
      </c>
      <c r="X16" s="18" t="b">
        <v>0</v>
      </c>
      <c r="Y16" s="18" t="s">
        <v>153</v>
      </c>
      <c r="Z16" s="18" t="s">
        <v>153</v>
      </c>
      <c r="AA16" s="18" t="s">
        <v>37</v>
      </c>
      <c r="AB16" s="18" t="s">
        <v>158</v>
      </c>
    </row>
    <row r="17" spans="1:28" s="12" customFormat="1" ht="12" customHeight="1">
      <c r="A17" s="17">
        <v>16</v>
      </c>
      <c r="B17" s="13" t="s">
        <v>1276</v>
      </c>
      <c r="C17" s="14" t="s">
        <v>1055</v>
      </c>
      <c r="D17" s="14"/>
      <c r="E17" s="14" t="s">
        <v>161</v>
      </c>
      <c r="F17" s="14" t="s">
        <v>92</v>
      </c>
      <c r="G17" s="14" t="s">
        <v>29</v>
      </c>
      <c r="H17" s="14" t="s">
        <v>29</v>
      </c>
      <c r="N17" s="14" t="s">
        <v>162</v>
      </c>
      <c r="O17" s="14" t="s">
        <v>163</v>
      </c>
      <c r="P17" s="14" t="s">
        <v>164</v>
      </c>
      <c r="Q17" s="14" t="s">
        <v>165</v>
      </c>
      <c r="R17" s="14" t="s">
        <v>163</v>
      </c>
      <c r="U17" s="14" t="s">
        <v>159</v>
      </c>
      <c r="V17" s="14" t="s">
        <v>166</v>
      </c>
      <c r="W17" s="14" t="s">
        <v>167</v>
      </c>
      <c r="X17" s="14" t="b">
        <v>1</v>
      </c>
      <c r="Y17" s="14" t="s">
        <v>160</v>
      </c>
      <c r="Z17" s="14" t="s">
        <v>160</v>
      </c>
      <c r="AA17" s="14" t="s">
        <v>37</v>
      </c>
      <c r="AB17" s="14" t="s">
        <v>168</v>
      </c>
    </row>
    <row r="18" spans="1:28" s="17" customFormat="1" ht="12" customHeight="1">
      <c r="A18" s="17">
        <v>17</v>
      </c>
      <c r="B18" s="16" t="s">
        <v>1250</v>
      </c>
      <c r="C18" s="18" t="s">
        <v>170</v>
      </c>
      <c r="D18" s="18"/>
      <c r="E18" s="18" t="s">
        <v>1017</v>
      </c>
      <c r="F18" s="18" t="s">
        <v>42</v>
      </c>
      <c r="G18" s="18" t="s">
        <v>29</v>
      </c>
      <c r="H18" s="18" t="s">
        <v>29</v>
      </c>
      <c r="M18" s="18" t="s">
        <v>171</v>
      </c>
      <c r="Q18" s="18" t="s">
        <v>172</v>
      </c>
      <c r="R18" s="18" t="s">
        <v>171</v>
      </c>
      <c r="U18" s="18" t="s">
        <v>169</v>
      </c>
      <c r="V18" s="18" t="s">
        <v>173</v>
      </c>
      <c r="W18" s="18" t="s">
        <v>174</v>
      </c>
      <c r="X18" s="18" t="b">
        <v>0</v>
      </c>
      <c r="Y18" s="18" t="s">
        <v>170</v>
      </c>
      <c r="Z18" s="18" t="s">
        <v>170</v>
      </c>
      <c r="AA18" s="18" t="s">
        <v>37</v>
      </c>
      <c r="AB18" s="18" t="s">
        <v>175</v>
      </c>
    </row>
    <row r="19" spans="1:28" s="17" customFormat="1" ht="12" customHeight="1">
      <c r="A19" s="17">
        <v>18</v>
      </c>
      <c r="B19" s="16" t="s">
        <v>1250</v>
      </c>
      <c r="C19" s="18" t="s">
        <v>177</v>
      </c>
      <c r="D19" s="18"/>
      <c r="E19" s="18" t="s">
        <v>178</v>
      </c>
      <c r="F19" s="18" t="s">
        <v>28</v>
      </c>
      <c r="G19" s="18" t="s">
        <v>29</v>
      </c>
      <c r="H19" s="18" t="s">
        <v>29</v>
      </c>
      <c r="M19" s="18" t="s">
        <v>179</v>
      </c>
      <c r="Q19" s="18" t="s">
        <v>180</v>
      </c>
      <c r="R19" s="18" t="s">
        <v>179</v>
      </c>
      <c r="U19" s="18" t="s">
        <v>176</v>
      </c>
      <c r="V19" s="18" t="s">
        <v>181</v>
      </c>
      <c r="W19" s="18" t="s">
        <v>182</v>
      </c>
      <c r="X19" s="18" t="b">
        <v>0</v>
      </c>
      <c r="Y19" s="18" t="s">
        <v>177</v>
      </c>
      <c r="Z19" s="18" t="s">
        <v>177</v>
      </c>
      <c r="AA19" s="18" t="s">
        <v>37</v>
      </c>
      <c r="AB19" s="18" t="s">
        <v>183</v>
      </c>
    </row>
    <row r="20" spans="1:28" s="17" customFormat="1" ht="12" customHeight="1">
      <c r="A20" s="17">
        <v>19</v>
      </c>
      <c r="B20" s="16" t="s">
        <v>1250</v>
      </c>
      <c r="C20" s="18" t="s">
        <v>185</v>
      </c>
      <c r="D20" s="18"/>
      <c r="E20" s="18" t="s">
        <v>178</v>
      </c>
      <c r="F20" s="18" t="s">
        <v>28</v>
      </c>
      <c r="G20" s="18" t="s">
        <v>1008</v>
      </c>
      <c r="H20" s="18" t="s">
        <v>1008</v>
      </c>
      <c r="L20" s="16" t="s">
        <v>1011</v>
      </c>
      <c r="M20" s="18" t="s">
        <v>187</v>
      </c>
      <c r="Q20" s="18" t="s">
        <v>188</v>
      </c>
      <c r="R20" s="18" t="s">
        <v>187</v>
      </c>
      <c r="U20" s="18" t="s">
        <v>184</v>
      </c>
      <c r="V20" s="18" t="s">
        <v>189</v>
      </c>
      <c r="W20" s="18" t="s">
        <v>190</v>
      </c>
      <c r="X20" s="18" t="b">
        <v>0</v>
      </c>
      <c r="Y20" s="18" t="s">
        <v>185</v>
      </c>
      <c r="Z20" s="18" t="s">
        <v>185</v>
      </c>
      <c r="AA20" s="18" t="s">
        <v>37</v>
      </c>
      <c r="AB20" s="18" t="s">
        <v>191</v>
      </c>
    </row>
    <row r="21" spans="1:28" s="17" customFormat="1" ht="12" customHeight="1">
      <c r="A21" s="17">
        <v>20</v>
      </c>
      <c r="B21" s="16" t="s">
        <v>1250</v>
      </c>
      <c r="C21" s="18" t="s">
        <v>193</v>
      </c>
      <c r="D21" s="18" t="s">
        <v>1009</v>
      </c>
      <c r="E21" s="18" t="s">
        <v>194</v>
      </c>
      <c r="F21" s="18" t="s">
        <v>28</v>
      </c>
      <c r="G21" s="18" t="s">
        <v>585</v>
      </c>
      <c r="H21" s="18" t="s">
        <v>585</v>
      </c>
      <c r="L21" s="16" t="s">
        <v>1012</v>
      </c>
      <c r="M21" s="18" t="s">
        <v>195</v>
      </c>
      <c r="Q21" s="18" t="s">
        <v>188</v>
      </c>
      <c r="R21" s="18" t="s">
        <v>195</v>
      </c>
      <c r="U21" s="18" t="s">
        <v>192</v>
      </c>
      <c r="V21" s="18" t="s">
        <v>196</v>
      </c>
      <c r="W21" s="18" t="s">
        <v>197</v>
      </c>
      <c r="X21" s="18" t="b">
        <v>0</v>
      </c>
      <c r="Y21" s="18" t="s">
        <v>193</v>
      </c>
      <c r="Z21" s="18" t="s">
        <v>193</v>
      </c>
      <c r="AA21" s="18" t="s">
        <v>198</v>
      </c>
      <c r="AB21" s="18" t="s">
        <v>199</v>
      </c>
    </row>
    <row r="22" spans="1:28" s="17" customFormat="1" ht="12" customHeight="1">
      <c r="A22" s="17">
        <v>21</v>
      </c>
      <c r="B22" s="16" t="s">
        <v>1250</v>
      </c>
      <c r="C22" s="18" t="s">
        <v>201</v>
      </c>
      <c r="D22" s="18" t="s">
        <v>1010</v>
      </c>
      <c r="E22" s="18" t="s">
        <v>194</v>
      </c>
      <c r="F22" s="18" t="s">
        <v>28</v>
      </c>
      <c r="G22" s="18" t="s">
        <v>29</v>
      </c>
      <c r="H22" s="18" t="s">
        <v>29</v>
      </c>
      <c r="L22" s="16" t="s">
        <v>1012</v>
      </c>
      <c r="M22" s="18" t="s">
        <v>154</v>
      </c>
      <c r="Q22" s="18" t="s">
        <v>155</v>
      </c>
      <c r="R22" s="18" t="s">
        <v>154</v>
      </c>
      <c r="U22" s="18" t="s">
        <v>200</v>
      </c>
      <c r="V22" s="18" t="s">
        <v>202</v>
      </c>
      <c r="W22" s="18" t="s">
        <v>203</v>
      </c>
      <c r="X22" s="18" t="b">
        <v>0</v>
      </c>
      <c r="Y22" s="18" t="s">
        <v>201</v>
      </c>
      <c r="Z22" s="18" t="s">
        <v>201</v>
      </c>
      <c r="AA22" s="18" t="s">
        <v>37</v>
      </c>
      <c r="AB22" s="18" t="s">
        <v>204</v>
      </c>
    </row>
    <row r="23" spans="1:28" s="12" customFormat="1" ht="12" customHeight="1">
      <c r="A23" s="17">
        <v>22</v>
      </c>
      <c r="B23" s="13" t="s">
        <v>1276</v>
      </c>
      <c r="C23" s="14" t="s">
        <v>206</v>
      </c>
      <c r="D23" s="14"/>
      <c r="E23" s="14" t="s">
        <v>207</v>
      </c>
      <c r="F23" s="14" t="s">
        <v>42</v>
      </c>
      <c r="G23" s="14" t="s">
        <v>29</v>
      </c>
      <c r="H23" s="14" t="s">
        <v>29</v>
      </c>
      <c r="M23" s="14" t="s">
        <v>208</v>
      </c>
      <c r="Q23" s="14" t="s">
        <v>209</v>
      </c>
      <c r="R23" s="14" t="s">
        <v>208</v>
      </c>
      <c r="U23" s="14" t="s">
        <v>205</v>
      </c>
      <c r="V23" s="14" t="s">
        <v>210</v>
      </c>
      <c r="W23" s="14" t="s">
        <v>211</v>
      </c>
      <c r="X23" s="14" t="b">
        <v>0</v>
      </c>
      <c r="Y23" s="14" t="s">
        <v>206</v>
      </c>
      <c r="Z23" s="14" t="s">
        <v>206</v>
      </c>
      <c r="AA23" s="14" t="s">
        <v>37</v>
      </c>
      <c r="AB23" s="14" t="s">
        <v>212</v>
      </c>
    </row>
    <row r="24" spans="1:28" s="12" customFormat="1" ht="12" customHeight="1">
      <c r="A24" s="17">
        <v>23</v>
      </c>
      <c r="B24" s="13" t="s">
        <v>1276</v>
      </c>
      <c r="C24" s="14" t="s">
        <v>214</v>
      </c>
      <c r="D24" s="14"/>
      <c r="E24" s="14" t="s">
        <v>207</v>
      </c>
      <c r="F24" s="14" t="s">
        <v>42</v>
      </c>
      <c r="G24" s="14" t="s">
        <v>29</v>
      </c>
      <c r="H24" s="14" t="s">
        <v>29</v>
      </c>
      <c r="M24" s="14" t="s">
        <v>215</v>
      </c>
      <c r="Q24" s="14" t="s">
        <v>216</v>
      </c>
      <c r="R24" s="14" t="s">
        <v>215</v>
      </c>
      <c r="U24" s="14" t="s">
        <v>213</v>
      </c>
      <c r="V24" s="14" t="s">
        <v>217</v>
      </c>
      <c r="W24" s="14" t="s">
        <v>218</v>
      </c>
      <c r="X24" s="14" t="b">
        <v>0</v>
      </c>
      <c r="Y24" s="14" t="s">
        <v>214</v>
      </c>
      <c r="Z24" s="14" t="s">
        <v>214</v>
      </c>
      <c r="AA24" s="14" t="s">
        <v>37</v>
      </c>
      <c r="AB24" s="14" t="s">
        <v>219</v>
      </c>
    </row>
    <row r="25" spans="1:28" s="12" customFormat="1" ht="12" customHeight="1">
      <c r="A25" s="17">
        <v>24</v>
      </c>
      <c r="B25" s="13" t="s">
        <v>1276</v>
      </c>
      <c r="C25" s="14" t="s">
        <v>221</v>
      </c>
      <c r="D25" s="14"/>
      <c r="E25" s="14" t="s">
        <v>222</v>
      </c>
      <c r="F25" s="14" t="s">
        <v>42</v>
      </c>
      <c r="G25" s="14" t="s">
        <v>1240</v>
      </c>
      <c r="H25" s="14" t="s">
        <v>640</v>
      </c>
      <c r="M25" s="14" t="s">
        <v>223</v>
      </c>
      <c r="Q25" s="14" t="s">
        <v>224</v>
      </c>
      <c r="R25" s="14" t="s">
        <v>223</v>
      </c>
      <c r="U25" s="14" t="s">
        <v>220</v>
      </c>
      <c r="V25" s="14" t="s">
        <v>225</v>
      </c>
      <c r="W25" s="14" t="s">
        <v>226</v>
      </c>
      <c r="X25" s="14" t="b">
        <v>0</v>
      </c>
      <c r="Y25" s="14" t="s">
        <v>221</v>
      </c>
      <c r="Z25" s="14" t="s">
        <v>221</v>
      </c>
      <c r="AA25" s="14" t="s">
        <v>50</v>
      </c>
      <c r="AB25" s="14" t="s">
        <v>227</v>
      </c>
    </row>
    <row r="26" spans="1:28" s="17" customFormat="1" ht="12" customHeight="1">
      <c r="A26" s="17">
        <v>25</v>
      </c>
      <c r="B26" s="16" t="s">
        <v>1250</v>
      </c>
      <c r="C26" s="18" t="s">
        <v>229</v>
      </c>
      <c r="D26" s="18"/>
      <c r="E26" s="18" t="s">
        <v>230</v>
      </c>
      <c r="F26" s="18" t="s">
        <v>28</v>
      </c>
      <c r="G26" s="18" t="s">
        <v>789</v>
      </c>
      <c r="H26" s="18" t="s">
        <v>789</v>
      </c>
      <c r="M26" s="18" t="s">
        <v>231</v>
      </c>
      <c r="Q26" s="18" t="s">
        <v>140</v>
      </c>
      <c r="R26" s="18" t="s">
        <v>231</v>
      </c>
      <c r="U26" s="18" t="s">
        <v>228</v>
      </c>
      <c r="V26" s="18" t="s">
        <v>232</v>
      </c>
      <c r="W26" s="18" t="s">
        <v>233</v>
      </c>
      <c r="X26" s="18" t="b">
        <v>0</v>
      </c>
      <c r="Y26" s="18" t="s">
        <v>229</v>
      </c>
      <c r="Z26" s="18" t="s">
        <v>229</v>
      </c>
      <c r="AA26" s="18" t="s">
        <v>121</v>
      </c>
      <c r="AB26" s="18" t="s">
        <v>234</v>
      </c>
    </row>
    <row r="27" spans="1:28" s="17" customFormat="1" ht="12" customHeight="1">
      <c r="A27" s="17">
        <v>26</v>
      </c>
      <c r="B27" s="16" t="s">
        <v>1250</v>
      </c>
      <c r="C27" s="18" t="s">
        <v>236</v>
      </c>
      <c r="D27" s="18" t="s">
        <v>1182</v>
      </c>
      <c r="E27" s="18" t="s">
        <v>237</v>
      </c>
      <c r="F27" s="18" t="s">
        <v>42</v>
      </c>
      <c r="G27" s="18" t="s">
        <v>1241</v>
      </c>
      <c r="H27" s="18" t="s">
        <v>640</v>
      </c>
      <c r="M27" s="18" t="s">
        <v>238</v>
      </c>
      <c r="Q27" s="18" t="s">
        <v>239</v>
      </c>
      <c r="R27" s="18" t="s">
        <v>238</v>
      </c>
      <c r="S27" s="18" t="s">
        <v>209</v>
      </c>
      <c r="T27" s="18" t="s">
        <v>240</v>
      </c>
      <c r="U27" s="18" t="s">
        <v>235</v>
      </c>
      <c r="V27" s="18" t="s">
        <v>241</v>
      </c>
      <c r="W27" s="18" t="s">
        <v>242</v>
      </c>
      <c r="X27" s="18" t="b">
        <v>0</v>
      </c>
      <c r="Y27" s="18" t="s">
        <v>236</v>
      </c>
      <c r="Z27" s="18" t="s">
        <v>236</v>
      </c>
      <c r="AA27" s="18" t="s">
        <v>50</v>
      </c>
      <c r="AB27" s="18" t="s">
        <v>243</v>
      </c>
    </row>
    <row r="28" spans="1:28" s="17" customFormat="1" ht="12" customHeight="1">
      <c r="A28" s="17">
        <v>27</v>
      </c>
      <c r="B28" s="16" t="s">
        <v>1250</v>
      </c>
      <c r="C28" s="18" t="s">
        <v>245</v>
      </c>
      <c r="D28" s="18" t="s">
        <v>1181</v>
      </c>
      <c r="E28" s="18" t="s">
        <v>237</v>
      </c>
      <c r="F28" s="18" t="s">
        <v>42</v>
      </c>
      <c r="G28" s="18" t="s">
        <v>1241</v>
      </c>
      <c r="H28" s="18" t="s">
        <v>640</v>
      </c>
      <c r="M28" s="18" t="s">
        <v>246</v>
      </c>
      <c r="Q28" s="18" t="s">
        <v>247</v>
      </c>
      <c r="R28" s="18" t="s">
        <v>246</v>
      </c>
      <c r="S28" s="18" t="s">
        <v>209</v>
      </c>
      <c r="T28" s="18" t="s">
        <v>240</v>
      </c>
      <c r="U28" s="18" t="s">
        <v>244</v>
      </c>
      <c r="V28" s="18" t="s">
        <v>248</v>
      </c>
      <c r="W28" s="18" t="s">
        <v>249</v>
      </c>
      <c r="X28" s="18" t="b">
        <v>0</v>
      </c>
      <c r="Y28" s="18" t="s">
        <v>245</v>
      </c>
      <c r="Z28" s="18" t="s">
        <v>245</v>
      </c>
      <c r="AA28" s="18" t="s">
        <v>50</v>
      </c>
      <c r="AB28" s="18" t="s">
        <v>250</v>
      </c>
    </row>
    <row r="29" spans="1:28" s="17" customFormat="1" ht="12" customHeight="1">
      <c r="A29" s="17">
        <v>28</v>
      </c>
      <c r="B29" s="16" t="s">
        <v>1250</v>
      </c>
      <c r="C29" s="18" t="s">
        <v>252</v>
      </c>
      <c r="D29" s="18"/>
      <c r="E29" s="18" t="s">
        <v>253</v>
      </c>
      <c r="F29" s="18" t="s">
        <v>42</v>
      </c>
      <c r="G29" s="18" t="s">
        <v>1247</v>
      </c>
      <c r="H29" s="19" t="s">
        <v>1000</v>
      </c>
      <c r="M29" s="18" t="s">
        <v>254</v>
      </c>
      <c r="Q29" s="18" t="s">
        <v>255</v>
      </c>
      <c r="R29" s="18" t="s">
        <v>254</v>
      </c>
      <c r="U29" s="18" t="s">
        <v>251</v>
      </c>
      <c r="V29" s="18" t="s">
        <v>256</v>
      </c>
      <c r="W29" s="18" t="s">
        <v>257</v>
      </c>
      <c r="X29" s="18" t="b">
        <v>0</v>
      </c>
      <c r="Y29" s="18" t="s">
        <v>252</v>
      </c>
      <c r="Z29" s="18" t="s">
        <v>252</v>
      </c>
      <c r="AA29" s="18" t="s">
        <v>87</v>
      </c>
      <c r="AB29" s="18" t="s">
        <v>258</v>
      </c>
    </row>
    <row r="30" spans="1:28" s="17" customFormat="1" ht="12" customHeight="1">
      <c r="A30" s="17">
        <v>29</v>
      </c>
      <c r="B30" s="16" t="s">
        <v>1250</v>
      </c>
      <c r="C30" s="18" t="s">
        <v>260</v>
      </c>
      <c r="D30" s="18"/>
      <c r="E30" s="18" t="s">
        <v>261</v>
      </c>
      <c r="F30" s="18" t="s">
        <v>42</v>
      </c>
      <c r="G30" s="19" t="s">
        <v>1002</v>
      </c>
      <c r="H30" s="19" t="s">
        <v>1002</v>
      </c>
      <c r="M30" s="18" t="s">
        <v>262</v>
      </c>
      <c r="Q30" s="18" t="s">
        <v>263</v>
      </c>
      <c r="R30" s="18" t="s">
        <v>262</v>
      </c>
      <c r="S30" s="18" t="s">
        <v>264</v>
      </c>
      <c r="T30" s="18" t="s">
        <v>265</v>
      </c>
      <c r="U30" s="18" t="s">
        <v>259</v>
      </c>
      <c r="V30" s="18" t="s">
        <v>259</v>
      </c>
      <c r="W30" s="18" t="s">
        <v>266</v>
      </c>
      <c r="X30" s="18" t="b">
        <v>0</v>
      </c>
      <c r="Y30" s="18" t="s">
        <v>260</v>
      </c>
      <c r="Z30" s="18" t="s">
        <v>260</v>
      </c>
      <c r="AA30" s="18" t="s">
        <v>267</v>
      </c>
      <c r="AB30" s="18" t="s">
        <v>268</v>
      </c>
    </row>
    <row r="31" spans="1:28" s="17" customFormat="1" ht="12" customHeight="1">
      <c r="A31" s="17">
        <v>30</v>
      </c>
      <c r="B31" s="16" t="s">
        <v>1250</v>
      </c>
      <c r="C31" s="18" t="s">
        <v>273</v>
      </c>
      <c r="D31" s="18" t="s">
        <v>269</v>
      </c>
      <c r="E31" s="18" t="s">
        <v>138</v>
      </c>
      <c r="F31" s="18" t="s">
        <v>92</v>
      </c>
      <c r="G31" s="18" t="s">
        <v>29</v>
      </c>
      <c r="H31" s="18" t="s">
        <v>29</v>
      </c>
      <c r="I31" s="18" t="s">
        <v>270</v>
      </c>
      <c r="J31" s="18" t="s">
        <v>271</v>
      </c>
      <c r="K31" s="20">
        <v>45809</v>
      </c>
      <c r="L31" s="18" t="s">
        <v>272</v>
      </c>
      <c r="N31" s="18" t="s">
        <v>270</v>
      </c>
      <c r="O31" s="18" t="s">
        <v>274</v>
      </c>
      <c r="P31" s="18" t="s">
        <v>275</v>
      </c>
      <c r="Q31" s="18" t="s">
        <v>276</v>
      </c>
      <c r="R31" s="18" t="s">
        <v>274</v>
      </c>
      <c r="U31" s="18" t="s">
        <v>273</v>
      </c>
      <c r="V31" s="18" t="s">
        <v>273</v>
      </c>
      <c r="W31" s="18" t="s">
        <v>277</v>
      </c>
      <c r="X31" s="18" t="b">
        <v>1</v>
      </c>
      <c r="Y31" s="18" t="s">
        <v>273</v>
      </c>
      <c r="Z31" s="18" t="s">
        <v>273</v>
      </c>
      <c r="AA31" s="18" t="s">
        <v>37</v>
      </c>
      <c r="AB31" s="18" t="s">
        <v>278</v>
      </c>
    </row>
    <row r="32" spans="1:28" s="17" customFormat="1" ht="12" customHeight="1">
      <c r="A32" s="17">
        <v>31</v>
      </c>
      <c r="B32" s="16" t="s">
        <v>1250</v>
      </c>
      <c r="C32" s="18" t="s">
        <v>283</v>
      </c>
      <c r="D32" s="18" t="s">
        <v>279</v>
      </c>
      <c r="E32" s="18" t="s">
        <v>280</v>
      </c>
      <c r="F32" s="18" t="s">
        <v>92</v>
      </c>
      <c r="G32" s="18" t="s">
        <v>29</v>
      </c>
      <c r="H32" s="18" t="s">
        <v>29</v>
      </c>
      <c r="I32" s="18" t="s">
        <v>281</v>
      </c>
      <c r="J32" s="18" t="s">
        <v>271</v>
      </c>
      <c r="K32" s="20">
        <v>45750</v>
      </c>
      <c r="L32" s="18" t="s">
        <v>282</v>
      </c>
      <c r="N32" s="18" t="s">
        <v>281</v>
      </c>
      <c r="O32" s="18" t="s">
        <v>284</v>
      </c>
      <c r="P32" s="18" t="s">
        <v>285</v>
      </c>
      <c r="Q32" s="18" t="s">
        <v>97</v>
      </c>
      <c r="R32" s="18" t="s">
        <v>284</v>
      </c>
      <c r="U32" s="18" t="s">
        <v>283</v>
      </c>
      <c r="V32" s="18" t="s">
        <v>286</v>
      </c>
      <c r="W32" s="18" t="s">
        <v>287</v>
      </c>
      <c r="X32" s="18" t="b">
        <v>1</v>
      </c>
      <c r="Y32" s="18" t="s">
        <v>279</v>
      </c>
      <c r="Z32" s="18" t="s">
        <v>279</v>
      </c>
      <c r="AA32" s="18" t="s">
        <v>37</v>
      </c>
      <c r="AB32" s="18" t="s">
        <v>288</v>
      </c>
    </row>
    <row r="33" spans="1:28" s="17" customFormat="1" ht="12" customHeight="1">
      <c r="A33" s="17">
        <v>32</v>
      </c>
      <c r="B33" s="16" t="s">
        <v>1250</v>
      </c>
      <c r="C33" s="18" t="s">
        <v>293</v>
      </c>
      <c r="D33" s="18" t="s">
        <v>289</v>
      </c>
      <c r="E33" s="18" t="s">
        <v>290</v>
      </c>
      <c r="F33" s="18" t="s">
        <v>92</v>
      </c>
      <c r="G33" s="18" t="s">
        <v>29</v>
      </c>
      <c r="H33" s="18" t="s">
        <v>29</v>
      </c>
      <c r="I33" s="18" t="s">
        <v>291</v>
      </c>
      <c r="J33" s="18" t="s">
        <v>271</v>
      </c>
      <c r="K33" s="20">
        <v>45779</v>
      </c>
      <c r="L33" s="18" t="s">
        <v>292</v>
      </c>
      <c r="N33" s="18" t="s">
        <v>291</v>
      </c>
      <c r="O33" s="18" t="s">
        <v>294</v>
      </c>
      <c r="P33" s="18" t="s">
        <v>295</v>
      </c>
      <c r="Q33" s="18" t="s">
        <v>76</v>
      </c>
      <c r="R33" s="18" t="s">
        <v>294</v>
      </c>
      <c r="U33" s="18" t="s">
        <v>293</v>
      </c>
      <c r="V33" s="18" t="s">
        <v>296</v>
      </c>
      <c r="W33" s="18" t="s">
        <v>297</v>
      </c>
      <c r="X33" s="18" t="b">
        <v>1</v>
      </c>
      <c r="Y33" s="18" t="s">
        <v>289</v>
      </c>
      <c r="Z33" s="18" t="s">
        <v>289</v>
      </c>
      <c r="AA33" s="18" t="s">
        <v>37</v>
      </c>
      <c r="AB33" s="18" t="s">
        <v>298</v>
      </c>
    </row>
    <row r="34" spans="1:28" s="17" customFormat="1" ht="12" customHeight="1">
      <c r="A34" s="17">
        <v>33</v>
      </c>
      <c r="B34" s="16" t="s">
        <v>1250</v>
      </c>
      <c r="C34" s="18" t="s">
        <v>303</v>
      </c>
      <c r="D34" s="18" t="s">
        <v>299</v>
      </c>
      <c r="E34" s="18" t="s">
        <v>300</v>
      </c>
      <c r="F34" s="18" t="s">
        <v>92</v>
      </c>
      <c r="G34" s="18" t="s">
        <v>29</v>
      </c>
      <c r="H34" s="18" t="s">
        <v>29</v>
      </c>
      <c r="I34" s="18" t="s">
        <v>301</v>
      </c>
      <c r="J34" s="18" t="s">
        <v>271</v>
      </c>
      <c r="K34" s="20">
        <v>45717</v>
      </c>
      <c r="L34" s="18" t="s">
        <v>302</v>
      </c>
      <c r="N34" s="18" t="s">
        <v>301</v>
      </c>
      <c r="O34" s="18" t="s">
        <v>304</v>
      </c>
      <c r="P34" s="18" t="s">
        <v>305</v>
      </c>
      <c r="Q34" s="18" t="s">
        <v>306</v>
      </c>
      <c r="R34" s="18" t="s">
        <v>304</v>
      </c>
      <c r="U34" s="18" t="s">
        <v>303</v>
      </c>
      <c r="V34" s="18" t="s">
        <v>307</v>
      </c>
      <c r="W34" s="18" t="s">
        <v>308</v>
      </c>
      <c r="X34" s="18" t="b">
        <v>1</v>
      </c>
      <c r="Y34" s="18" t="s">
        <v>299</v>
      </c>
      <c r="Z34" s="18" t="s">
        <v>309</v>
      </c>
      <c r="AA34" s="18" t="s">
        <v>37</v>
      </c>
      <c r="AB34" s="18" t="s">
        <v>310</v>
      </c>
    </row>
    <row r="35" spans="1:28" s="17" customFormat="1" ht="12" customHeight="1">
      <c r="A35" s="17">
        <v>34</v>
      </c>
      <c r="B35" s="16" t="s">
        <v>1250</v>
      </c>
      <c r="C35" s="18" t="s">
        <v>315</v>
      </c>
      <c r="D35" s="18" t="s">
        <v>311</v>
      </c>
      <c r="E35" s="18" t="s">
        <v>312</v>
      </c>
      <c r="F35" s="18" t="s">
        <v>92</v>
      </c>
      <c r="G35" s="18" t="s">
        <v>29</v>
      </c>
      <c r="H35" s="18" t="s">
        <v>29</v>
      </c>
      <c r="I35" s="18" t="s">
        <v>313</v>
      </c>
      <c r="J35" s="18" t="s">
        <v>271</v>
      </c>
      <c r="K35" s="20">
        <v>45840</v>
      </c>
      <c r="L35" s="18" t="s">
        <v>314</v>
      </c>
      <c r="N35" s="18" t="s">
        <v>313</v>
      </c>
      <c r="O35" s="18" t="s">
        <v>316</v>
      </c>
      <c r="P35" s="18" t="s">
        <v>317</v>
      </c>
      <c r="Q35" s="18" t="s">
        <v>318</v>
      </c>
      <c r="R35" s="18" t="s">
        <v>316</v>
      </c>
      <c r="U35" s="18" t="s">
        <v>315</v>
      </c>
      <c r="V35" s="18" t="s">
        <v>319</v>
      </c>
      <c r="W35" s="18" t="s">
        <v>320</v>
      </c>
      <c r="X35" s="18" t="b">
        <v>1</v>
      </c>
      <c r="Y35" s="18" t="s">
        <v>311</v>
      </c>
      <c r="Z35" s="18" t="s">
        <v>311</v>
      </c>
      <c r="AA35" s="18" t="s">
        <v>37</v>
      </c>
      <c r="AB35" s="18" t="s">
        <v>321</v>
      </c>
    </row>
    <row r="36" spans="1:28" s="17" customFormat="1" ht="12" customHeight="1">
      <c r="A36" s="17">
        <v>35</v>
      </c>
      <c r="B36" s="16" t="s">
        <v>1250</v>
      </c>
      <c r="C36" s="18" t="s">
        <v>326</v>
      </c>
      <c r="D36" s="18" t="s">
        <v>322</v>
      </c>
      <c r="E36" s="18" t="s">
        <v>323</v>
      </c>
      <c r="F36" s="18" t="s">
        <v>92</v>
      </c>
      <c r="G36" s="18" t="s">
        <v>29</v>
      </c>
      <c r="H36" s="18" t="s">
        <v>29</v>
      </c>
      <c r="I36" s="18" t="s">
        <v>324</v>
      </c>
      <c r="J36" s="18" t="s">
        <v>271</v>
      </c>
      <c r="K36" s="20">
        <v>45718</v>
      </c>
      <c r="L36" s="18" t="s">
        <v>325</v>
      </c>
      <c r="N36" s="18" t="s">
        <v>324</v>
      </c>
      <c r="O36" s="18" t="s">
        <v>327</v>
      </c>
      <c r="P36" s="18" t="s">
        <v>328</v>
      </c>
      <c r="Q36" s="18" t="s">
        <v>329</v>
      </c>
      <c r="R36" s="18" t="s">
        <v>327</v>
      </c>
      <c r="U36" s="18" t="s">
        <v>326</v>
      </c>
      <c r="V36" s="18" t="s">
        <v>330</v>
      </c>
      <c r="W36" s="18" t="s">
        <v>331</v>
      </c>
      <c r="X36" s="18" t="b">
        <v>1</v>
      </c>
      <c r="Y36" s="18" t="s">
        <v>322</v>
      </c>
      <c r="Z36" s="18" t="s">
        <v>332</v>
      </c>
      <c r="AA36" s="18" t="s">
        <v>37</v>
      </c>
      <c r="AB36" s="18" t="s">
        <v>333</v>
      </c>
    </row>
    <row r="37" spans="1:28" s="17" customFormat="1" ht="12" customHeight="1">
      <c r="A37" s="17">
        <v>36</v>
      </c>
      <c r="B37" s="16" t="s">
        <v>1250</v>
      </c>
      <c r="C37" s="18" t="s">
        <v>337</v>
      </c>
      <c r="D37" s="18" t="s">
        <v>334</v>
      </c>
      <c r="E37" s="18" t="s">
        <v>335</v>
      </c>
      <c r="F37" s="18" t="s">
        <v>92</v>
      </c>
      <c r="G37" s="18" t="s">
        <v>29</v>
      </c>
      <c r="H37" s="18" t="s">
        <v>29</v>
      </c>
      <c r="I37" s="18" t="s">
        <v>94</v>
      </c>
      <c r="J37" s="18" t="s">
        <v>271</v>
      </c>
      <c r="K37" s="20">
        <v>45779</v>
      </c>
      <c r="L37" s="18" t="s">
        <v>336</v>
      </c>
      <c r="N37" s="18" t="s">
        <v>94</v>
      </c>
      <c r="O37" s="18" t="s">
        <v>95</v>
      </c>
      <c r="P37" s="18" t="s">
        <v>96</v>
      </c>
      <c r="Q37" s="18" t="s">
        <v>97</v>
      </c>
      <c r="R37" s="18" t="s">
        <v>95</v>
      </c>
      <c r="U37" s="18" t="s">
        <v>337</v>
      </c>
      <c r="V37" s="18" t="s">
        <v>338</v>
      </c>
      <c r="W37" s="18" t="s">
        <v>339</v>
      </c>
      <c r="X37" s="18" t="b">
        <v>1</v>
      </c>
      <c r="Y37" s="18" t="s">
        <v>90</v>
      </c>
      <c r="Z37" s="18" t="s">
        <v>337</v>
      </c>
      <c r="AA37" s="18" t="s">
        <v>37</v>
      </c>
      <c r="AB37" s="18" t="s">
        <v>340</v>
      </c>
    </row>
    <row r="38" spans="1:28" s="17" customFormat="1" ht="12" customHeight="1">
      <c r="A38" s="17">
        <v>37</v>
      </c>
      <c r="B38" s="16" t="s">
        <v>1250</v>
      </c>
      <c r="C38" s="18" t="s">
        <v>345</v>
      </c>
      <c r="E38" s="18" t="s">
        <v>341</v>
      </c>
      <c r="F38" s="18" t="s">
        <v>92</v>
      </c>
      <c r="G38" s="18" t="s">
        <v>29</v>
      </c>
      <c r="H38" s="18" t="s">
        <v>29</v>
      </c>
      <c r="I38" s="18" t="s">
        <v>342</v>
      </c>
      <c r="J38" s="18" t="s">
        <v>271</v>
      </c>
      <c r="K38" s="20">
        <v>45659</v>
      </c>
      <c r="L38" s="18" t="s">
        <v>343</v>
      </c>
      <c r="N38" s="18" t="s">
        <v>344</v>
      </c>
      <c r="O38" s="18" t="s">
        <v>346</v>
      </c>
      <c r="P38" s="18" t="s">
        <v>347</v>
      </c>
      <c r="Q38" s="18" t="s">
        <v>348</v>
      </c>
      <c r="R38" s="18" t="s">
        <v>346</v>
      </c>
      <c r="U38" s="18" t="s">
        <v>345</v>
      </c>
      <c r="V38" s="18" t="s">
        <v>345</v>
      </c>
      <c r="W38" s="18" t="s">
        <v>349</v>
      </c>
      <c r="X38" s="18" t="b">
        <v>1</v>
      </c>
      <c r="Y38" s="18" t="s">
        <v>345</v>
      </c>
      <c r="Z38" s="18" t="s">
        <v>345</v>
      </c>
      <c r="AA38" s="18" t="s">
        <v>37</v>
      </c>
      <c r="AB38" s="18" t="s">
        <v>350</v>
      </c>
    </row>
    <row r="39" spans="1:28" s="17" customFormat="1" ht="12" customHeight="1">
      <c r="A39" s="17">
        <v>38</v>
      </c>
      <c r="B39" s="16" t="s">
        <v>1250</v>
      </c>
      <c r="C39" s="18" t="s">
        <v>356</v>
      </c>
      <c r="D39" s="18" t="s">
        <v>351</v>
      </c>
      <c r="E39" s="18" t="s">
        <v>352</v>
      </c>
      <c r="F39" s="18" t="s">
        <v>28</v>
      </c>
      <c r="G39" s="18" t="s">
        <v>29</v>
      </c>
      <c r="H39" s="18" t="s">
        <v>29</v>
      </c>
      <c r="I39" s="18" t="s">
        <v>353</v>
      </c>
      <c r="J39" s="18" t="s">
        <v>271</v>
      </c>
      <c r="K39" s="18" t="s">
        <v>354</v>
      </c>
      <c r="L39" s="18" t="s">
        <v>355</v>
      </c>
      <c r="N39" s="18" t="s">
        <v>353</v>
      </c>
      <c r="O39" s="18" t="s">
        <v>357</v>
      </c>
      <c r="P39" s="18" t="s">
        <v>358</v>
      </c>
      <c r="Q39" s="18" t="s">
        <v>359</v>
      </c>
      <c r="R39" s="18" t="s">
        <v>357</v>
      </c>
      <c r="U39" s="18" t="s">
        <v>356</v>
      </c>
      <c r="V39" s="18" t="s">
        <v>356</v>
      </c>
      <c r="W39" s="18" t="s">
        <v>360</v>
      </c>
      <c r="X39" s="18" t="b">
        <v>1</v>
      </c>
      <c r="Y39" s="18" t="s">
        <v>356</v>
      </c>
      <c r="Z39" s="18" t="s">
        <v>356</v>
      </c>
      <c r="AA39" s="18" t="s">
        <v>37</v>
      </c>
      <c r="AB39" s="18" t="s">
        <v>361</v>
      </c>
    </row>
    <row r="40" spans="1:28" s="17" customFormat="1" ht="12" customHeight="1">
      <c r="A40" s="17">
        <v>39</v>
      </c>
      <c r="B40" s="16" t="s">
        <v>1250</v>
      </c>
      <c r="C40" s="18" t="s">
        <v>366</v>
      </c>
      <c r="D40" s="18" t="s">
        <v>362</v>
      </c>
      <c r="E40" s="18" t="s">
        <v>363</v>
      </c>
      <c r="F40" s="18" t="s">
        <v>28</v>
      </c>
      <c r="G40" s="18" t="s">
        <v>29</v>
      </c>
      <c r="H40" s="18" t="s">
        <v>29</v>
      </c>
      <c r="I40" s="18" t="s">
        <v>364</v>
      </c>
      <c r="J40" s="18" t="s">
        <v>271</v>
      </c>
      <c r="K40" s="20">
        <v>45810</v>
      </c>
      <c r="L40" s="18" t="s">
        <v>365</v>
      </c>
      <c r="N40" s="18" t="s">
        <v>364</v>
      </c>
      <c r="O40" s="18" t="s">
        <v>367</v>
      </c>
      <c r="P40" s="18" t="s">
        <v>368</v>
      </c>
      <c r="Q40" s="18" t="s">
        <v>104</v>
      </c>
      <c r="R40" s="18" t="s">
        <v>367</v>
      </c>
      <c r="U40" s="18" t="s">
        <v>366</v>
      </c>
      <c r="V40" s="18" t="s">
        <v>366</v>
      </c>
      <c r="W40" s="18" t="s">
        <v>369</v>
      </c>
      <c r="X40" s="18" t="b">
        <v>1</v>
      </c>
      <c r="Y40" s="18" t="s">
        <v>366</v>
      </c>
      <c r="Z40" s="18" t="s">
        <v>366</v>
      </c>
      <c r="AA40" s="18" t="s">
        <v>37</v>
      </c>
      <c r="AB40" s="18" t="s">
        <v>370</v>
      </c>
    </row>
    <row r="41" spans="1:28" s="17" customFormat="1" ht="12" customHeight="1">
      <c r="A41" s="17">
        <v>40</v>
      </c>
      <c r="B41" s="16" t="s">
        <v>1250</v>
      </c>
      <c r="C41" s="18" t="s">
        <v>374</v>
      </c>
      <c r="D41" s="18" t="s">
        <v>371</v>
      </c>
      <c r="E41" s="18" t="s">
        <v>230</v>
      </c>
      <c r="F41" s="18" t="s">
        <v>28</v>
      </c>
      <c r="G41" s="18" t="s">
        <v>29</v>
      </c>
      <c r="H41" s="18" t="s">
        <v>29</v>
      </c>
      <c r="I41" s="18" t="s">
        <v>372</v>
      </c>
      <c r="J41" s="18" t="s">
        <v>271</v>
      </c>
      <c r="K41" s="20">
        <v>45901</v>
      </c>
      <c r="L41" s="18" t="s">
        <v>373</v>
      </c>
      <c r="N41" s="18" t="s">
        <v>372</v>
      </c>
      <c r="O41" s="18" t="s">
        <v>375</v>
      </c>
      <c r="P41" s="18" t="s">
        <v>376</v>
      </c>
      <c r="Q41" s="18" t="s">
        <v>377</v>
      </c>
      <c r="R41" s="18" t="s">
        <v>375</v>
      </c>
      <c r="U41" s="18" t="s">
        <v>374</v>
      </c>
      <c r="V41" s="18" t="s">
        <v>374</v>
      </c>
      <c r="W41" s="18" t="s">
        <v>378</v>
      </c>
      <c r="X41" s="18" t="b">
        <v>1</v>
      </c>
      <c r="Y41" s="18" t="s">
        <v>374</v>
      </c>
      <c r="Z41" s="18" t="s">
        <v>374</v>
      </c>
      <c r="AA41" s="18" t="s">
        <v>37</v>
      </c>
      <c r="AB41" s="18" t="s">
        <v>379</v>
      </c>
    </row>
    <row r="42" spans="1:28" s="17" customFormat="1" ht="12" customHeight="1">
      <c r="A42" s="17">
        <v>41</v>
      </c>
      <c r="B42" s="16" t="s">
        <v>1250</v>
      </c>
      <c r="C42" s="18" t="s">
        <v>383</v>
      </c>
      <c r="E42" s="18" t="s">
        <v>380</v>
      </c>
      <c r="F42" s="18" t="s">
        <v>28</v>
      </c>
      <c r="G42" s="18" t="s">
        <v>29</v>
      </c>
      <c r="H42" s="18" t="s">
        <v>29</v>
      </c>
      <c r="I42" s="18" t="s">
        <v>381</v>
      </c>
      <c r="J42" s="18" t="s">
        <v>271</v>
      </c>
      <c r="K42" s="20">
        <v>45870</v>
      </c>
      <c r="L42" s="18" t="s">
        <v>382</v>
      </c>
      <c r="N42" s="18" t="s">
        <v>381</v>
      </c>
      <c r="O42" s="18" t="s">
        <v>384</v>
      </c>
      <c r="P42" s="18" t="s">
        <v>385</v>
      </c>
      <c r="Q42" s="18" t="s">
        <v>386</v>
      </c>
      <c r="R42" s="18" t="s">
        <v>384</v>
      </c>
      <c r="U42" s="18" t="s">
        <v>383</v>
      </c>
      <c r="V42" s="18" t="s">
        <v>383</v>
      </c>
      <c r="W42" s="18" t="s">
        <v>387</v>
      </c>
      <c r="X42" s="18" t="b">
        <v>1</v>
      </c>
      <c r="Y42" s="18" t="s">
        <v>383</v>
      </c>
      <c r="Z42" s="18" t="s">
        <v>383</v>
      </c>
      <c r="AA42" s="18" t="s">
        <v>37</v>
      </c>
      <c r="AB42" s="18" t="s">
        <v>388</v>
      </c>
    </row>
    <row r="43" spans="1:28" s="17" customFormat="1" ht="12" customHeight="1">
      <c r="A43" s="17">
        <v>42</v>
      </c>
      <c r="B43" s="16" t="s">
        <v>1250</v>
      </c>
      <c r="C43" s="18" t="s">
        <v>1006</v>
      </c>
      <c r="E43" s="18" t="s">
        <v>389</v>
      </c>
      <c r="F43" s="18" t="s">
        <v>28</v>
      </c>
      <c r="G43" s="18" t="s">
        <v>29</v>
      </c>
      <c r="H43" s="18" t="s">
        <v>29</v>
      </c>
      <c r="I43" s="18" t="s">
        <v>162</v>
      </c>
      <c r="J43" s="18" t="s">
        <v>271</v>
      </c>
      <c r="K43" s="20">
        <v>45718</v>
      </c>
      <c r="L43" s="18" t="s">
        <v>390</v>
      </c>
      <c r="N43" s="18" t="s">
        <v>162</v>
      </c>
      <c r="O43" s="18" t="s">
        <v>163</v>
      </c>
      <c r="P43" s="18" t="s">
        <v>164</v>
      </c>
      <c r="Q43" s="18" t="s">
        <v>165</v>
      </c>
      <c r="R43" s="18" t="s">
        <v>163</v>
      </c>
      <c r="U43" s="18" t="s">
        <v>391</v>
      </c>
      <c r="V43" s="18" t="s">
        <v>391</v>
      </c>
      <c r="W43" s="18" t="s">
        <v>392</v>
      </c>
      <c r="X43" s="18" t="b">
        <v>1</v>
      </c>
      <c r="Y43" s="18" t="s">
        <v>391</v>
      </c>
      <c r="Z43" s="18" t="s">
        <v>391</v>
      </c>
      <c r="AA43" s="18" t="s">
        <v>37</v>
      </c>
      <c r="AB43" s="18" t="s">
        <v>393</v>
      </c>
    </row>
    <row r="44" spans="1:28" s="17" customFormat="1" ht="12" customHeight="1">
      <c r="A44" s="17">
        <v>43</v>
      </c>
      <c r="B44" s="16" t="s">
        <v>1250</v>
      </c>
      <c r="C44" s="18" t="s">
        <v>1005</v>
      </c>
      <c r="E44" s="18" t="s">
        <v>394</v>
      </c>
      <c r="F44" s="18" t="s">
        <v>28</v>
      </c>
      <c r="G44" s="18" t="s">
        <v>29</v>
      </c>
      <c r="H44" s="18" t="s">
        <v>29</v>
      </c>
      <c r="I44" s="18" t="s">
        <v>31</v>
      </c>
      <c r="J44" s="18" t="s">
        <v>271</v>
      </c>
      <c r="K44" s="20">
        <v>45840</v>
      </c>
      <c r="L44" s="18" t="s">
        <v>390</v>
      </c>
      <c r="N44" s="18" t="s">
        <v>31</v>
      </c>
      <c r="O44" s="18" t="s">
        <v>32</v>
      </c>
      <c r="P44" s="18" t="s">
        <v>33</v>
      </c>
      <c r="Q44" s="18" t="s">
        <v>34</v>
      </c>
      <c r="R44" s="18" t="s">
        <v>32</v>
      </c>
      <c r="U44" s="18" t="s">
        <v>395</v>
      </c>
      <c r="V44" s="18" t="s">
        <v>396</v>
      </c>
      <c r="W44" s="18" t="s">
        <v>397</v>
      </c>
      <c r="X44" s="18" t="b">
        <v>1</v>
      </c>
      <c r="Y44" s="18" t="s">
        <v>395</v>
      </c>
      <c r="Z44" s="18" t="s">
        <v>398</v>
      </c>
      <c r="AA44" s="18" t="s">
        <v>37</v>
      </c>
      <c r="AB44" s="18" t="s">
        <v>399</v>
      </c>
    </row>
    <row r="45" spans="1:28" s="17" customFormat="1" ht="12" customHeight="1">
      <c r="A45" s="17">
        <v>44</v>
      </c>
      <c r="B45" s="16" t="s">
        <v>1250</v>
      </c>
      <c r="C45" s="18" t="s">
        <v>404</v>
      </c>
      <c r="E45" s="18" t="s">
        <v>400</v>
      </c>
      <c r="F45" s="18" t="s">
        <v>28</v>
      </c>
      <c r="G45" s="18" t="s">
        <v>29</v>
      </c>
      <c r="H45" s="18" t="s">
        <v>29</v>
      </c>
      <c r="I45" s="18" t="s">
        <v>401</v>
      </c>
      <c r="J45" s="18" t="s">
        <v>402</v>
      </c>
      <c r="K45" s="20">
        <v>45871</v>
      </c>
      <c r="L45" s="18" t="s">
        <v>403</v>
      </c>
      <c r="N45" s="18" t="s">
        <v>401</v>
      </c>
      <c r="O45" s="18" t="s">
        <v>405</v>
      </c>
      <c r="P45" s="18" t="s">
        <v>406</v>
      </c>
      <c r="Q45" s="18" t="s">
        <v>407</v>
      </c>
      <c r="R45" s="18" t="s">
        <v>405</v>
      </c>
      <c r="U45" s="18" t="s">
        <v>404</v>
      </c>
      <c r="V45" s="18" t="s">
        <v>408</v>
      </c>
      <c r="W45" s="18" t="s">
        <v>409</v>
      </c>
      <c r="X45" s="18" t="b">
        <v>1</v>
      </c>
      <c r="Y45" s="18" t="s">
        <v>404</v>
      </c>
      <c r="Z45" s="18" t="s">
        <v>404</v>
      </c>
      <c r="AA45" s="18" t="s">
        <v>37</v>
      </c>
      <c r="AB45" s="18" t="s">
        <v>410</v>
      </c>
    </row>
    <row r="46" spans="1:28" s="17" customFormat="1" ht="12" customHeight="1">
      <c r="A46" s="17">
        <v>45</v>
      </c>
      <c r="B46" s="16" t="s">
        <v>1250</v>
      </c>
      <c r="C46" s="18" t="s">
        <v>414</v>
      </c>
      <c r="E46" s="18" t="s">
        <v>411</v>
      </c>
      <c r="F46" s="18" t="s">
        <v>28</v>
      </c>
      <c r="G46" s="18" t="s">
        <v>29</v>
      </c>
      <c r="H46" s="18" t="s">
        <v>29</v>
      </c>
      <c r="I46" s="18" t="s">
        <v>412</v>
      </c>
      <c r="J46" s="18" t="s">
        <v>271</v>
      </c>
      <c r="K46" s="20">
        <v>45718</v>
      </c>
      <c r="L46" s="18" t="s">
        <v>413</v>
      </c>
      <c r="N46" s="18" t="s">
        <v>412</v>
      </c>
      <c r="O46" s="18" t="s">
        <v>415</v>
      </c>
      <c r="P46" s="18" t="s">
        <v>416</v>
      </c>
      <c r="Q46" s="18" t="s">
        <v>97</v>
      </c>
      <c r="R46" s="18" t="s">
        <v>415</v>
      </c>
      <c r="U46" s="18" t="s">
        <v>414</v>
      </c>
      <c r="V46" s="18" t="s">
        <v>414</v>
      </c>
      <c r="W46" s="18" t="s">
        <v>417</v>
      </c>
      <c r="X46" s="18" t="b">
        <v>1</v>
      </c>
      <c r="Y46" s="18" t="s">
        <v>414</v>
      </c>
      <c r="Z46" s="18" t="s">
        <v>414</v>
      </c>
      <c r="AA46" s="18" t="s">
        <v>37</v>
      </c>
      <c r="AB46" s="18" t="s">
        <v>418</v>
      </c>
    </row>
    <row r="47" spans="1:28" s="17" customFormat="1" ht="12" customHeight="1">
      <c r="A47" s="17">
        <v>46</v>
      </c>
      <c r="B47" s="16" t="s">
        <v>1250</v>
      </c>
      <c r="C47" s="18" t="s">
        <v>422</v>
      </c>
      <c r="E47" s="18" t="s">
        <v>419</v>
      </c>
      <c r="F47" s="18" t="s">
        <v>28</v>
      </c>
      <c r="G47" s="18" t="s">
        <v>29</v>
      </c>
      <c r="H47" s="18" t="s">
        <v>29</v>
      </c>
      <c r="I47" s="18" t="s">
        <v>420</v>
      </c>
      <c r="J47" s="18" t="s">
        <v>271</v>
      </c>
      <c r="K47" s="20">
        <v>45809</v>
      </c>
      <c r="L47" s="18" t="s">
        <v>421</v>
      </c>
      <c r="N47" s="18" t="s">
        <v>420</v>
      </c>
      <c r="O47" s="18" t="s">
        <v>423</v>
      </c>
      <c r="P47" s="18" t="s">
        <v>424</v>
      </c>
      <c r="Q47" s="18" t="s">
        <v>425</v>
      </c>
      <c r="R47" s="18" t="s">
        <v>423</v>
      </c>
      <c r="U47" s="18" t="s">
        <v>422</v>
      </c>
      <c r="V47" s="18" t="s">
        <v>422</v>
      </c>
      <c r="W47" s="18" t="s">
        <v>426</v>
      </c>
      <c r="X47" s="18" t="b">
        <v>1</v>
      </c>
      <c r="Y47" s="18" t="s">
        <v>422</v>
      </c>
      <c r="Z47" s="18" t="s">
        <v>422</v>
      </c>
      <c r="AA47" s="18" t="s">
        <v>37</v>
      </c>
      <c r="AB47" s="18" t="s">
        <v>427</v>
      </c>
    </row>
    <row r="48" spans="1:28" s="17" customFormat="1" ht="12" customHeight="1">
      <c r="A48" s="17">
        <v>47</v>
      </c>
      <c r="B48" s="16" t="s">
        <v>1250</v>
      </c>
      <c r="C48" s="18" t="s">
        <v>432</v>
      </c>
      <c r="E48" s="18" t="s">
        <v>428</v>
      </c>
      <c r="F48" s="18" t="s">
        <v>429</v>
      </c>
      <c r="G48" s="18" t="s">
        <v>29</v>
      </c>
      <c r="H48" s="18" t="s">
        <v>29</v>
      </c>
      <c r="I48" s="18" t="s">
        <v>430</v>
      </c>
      <c r="J48" s="18" t="s">
        <v>271</v>
      </c>
      <c r="K48" s="20">
        <v>45839</v>
      </c>
      <c r="L48" s="18" t="s">
        <v>431</v>
      </c>
      <c r="N48" s="18" t="s">
        <v>430</v>
      </c>
      <c r="O48" s="18" t="s">
        <v>433</v>
      </c>
      <c r="P48" s="18" t="s">
        <v>434</v>
      </c>
      <c r="Q48" s="18" t="s">
        <v>435</v>
      </c>
      <c r="R48" s="18" t="s">
        <v>433</v>
      </c>
      <c r="U48" s="18" t="s">
        <v>432</v>
      </c>
      <c r="V48" s="18" t="s">
        <v>436</v>
      </c>
      <c r="W48" s="18" t="s">
        <v>437</v>
      </c>
      <c r="X48" s="18" t="b">
        <v>1</v>
      </c>
      <c r="Y48" s="18" t="s">
        <v>432</v>
      </c>
      <c r="Z48" s="18" t="s">
        <v>438</v>
      </c>
      <c r="AA48" s="18" t="s">
        <v>37</v>
      </c>
      <c r="AB48" s="18" t="s">
        <v>439</v>
      </c>
    </row>
    <row r="49" spans="1:28" s="17" customFormat="1" ht="12" customHeight="1">
      <c r="A49" s="17">
        <v>48</v>
      </c>
      <c r="B49" s="16" t="s">
        <v>1250</v>
      </c>
      <c r="C49" s="18" t="s">
        <v>1003</v>
      </c>
      <c r="D49" s="18" t="s">
        <v>440</v>
      </c>
      <c r="E49" s="18" t="s">
        <v>441</v>
      </c>
      <c r="F49" s="18" t="s">
        <v>28</v>
      </c>
      <c r="G49" s="18" t="s">
        <v>29</v>
      </c>
      <c r="H49" s="18" t="s">
        <v>29</v>
      </c>
      <c r="I49" s="18" t="s">
        <v>55</v>
      </c>
      <c r="J49" s="18" t="s">
        <v>271</v>
      </c>
      <c r="K49" s="20">
        <v>45840</v>
      </c>
      <c r="L49" s="18" t="s">
        <v>442</v>
      </c>
      <c r="N49" s="18" t="s">
        <v>55</v>
      </c>
      <c r="O49" s="18" t="s">
        <v>56</v>
      </c>
      <c r="P49" s="18" t="s">
        <v>57</v>
      </c>
      <c r="Q49" s="18" t="s">
        <v>58</v>
      </c>
      <c r="R49" s="18" t="s">
        <v>56</v>
      </c>
      <c r="U49" s="18" t="s">
        <v>443</v>
      </c>
      <c r="V49" s="18" t="s">
        <v>444</v>
      </c>
      <c r="W49" s="18" t="s">
        <v>445</v>
      </c>
      <c r="X49" s="18" t="b">
        <v>1</v>
      </c>
      <c r="Y49" s="18" t="s">
        <v>440</v>
      </c>
      <c r="Z49" s="18" t="s">
        <v>446</v>
      </c>
      <c r="AA49" s="18" t="s">
        <v>37</v>
      </c>
      <c r="AB49" s="18" t="s">
        <v>447</v>
      </c>
    </row>
    <row r="50" spans="1:28" s="17" customFormat="1" ht="12" customHeight="1">
      <c r="A50" s="17">
        <v>49</v>
      </c>
      <c r="B50" s="16" t="s">
        <v>1250</v>
      </c>
      <c r="C50" s="18" t="s">
        <v>451</v>
      </c>
      <c r="D50" s="18" t="s">
        <v>448</v>
      </c>
      <c r="E50" s="18" t="s">
        <v>449</v>
      </c>
      <c r="F50" s="18" t="s">
        <v>28</v>
      </c>
      <c r="G50" s="18" t="s">
        <v>29</v>
      </c>
      <c r="H50" s="18" t="s">
        <v>29</v>
      </c>
      <c r="I50" s="18" t="s">
        <v>450</v>
      </c>
      <c r="J50" s="18" t="s">
        <v>271</v>
      </c>
      <c r="K50" s="20">
        <v>45901</v>
      </c>
      <c r="L50" s="18" t="s">
        <v>442</v>
      </c>
      <c r="N50" s="18" t="s">
        <v>450</v>
      </c>
      <c r="O50" s="18" t="s">
        <v>452</v>
      </c>
      <c r="P50" s="18" t="s">
        <v>453</v>
      </c>
      <c r="Q50" s="18" t="s">
        <v>454</v>
      </c>
      <c r="R50" s="18" t="s">
        <v>452</v>
      </c>
      <c r="U50" s="18" t="s">
        <v>451</v>
      </c>
      <c r="V50" s="18" t="s">
        <v>455</v>
      </c>
      <c r="W50" s="18" t="s">
        <v>456</v>
      </c>
      <c r="X50" s="18" t="b">
        <v>1</v>
      </c>
      <c r="Y50" s="18" t="s">
        <v>448</v>
      </c>
      <c r="Z50" s="18" t="s">
        <v>457</v>
      </c>
      <c r="AA50" s="18" t="s">
        <v>37</v>
      </c>
      <c r="AB50" s="18" t="s">
        <v>458</v>
      </c>
    </row>
    <row r="51" spans="1:28" s="17" customFormat="1" ht="12" customHeight="1">
      <c r="A51" s="17">
        <v>50</v>
      </c>
      <c r="B51" s="16" t="s">
        <v>1250</v>
      </c>
      <c r="C51" s="18" t="s">
        <v>463</v>
      </c>
      <c r="D51" s="18" t="s">
        <v>459</v>
      </c>
      <c r="E51" s="18" t="s">
        <v>460</v>
      </c>
      <c r="F51" s="18" t="s">
        <v>28</v>
      </c>
      <c r="G51" s="18" t="s">
        <v>29</v>
      </c>
      <c r="H51" s="18" t="s">
        <v>29</v>
      </c>
      <c r="I51" s="18" t="s">
        <v>461</v>
      </c>
      <c r="J51" s="18" t="s">
        <v>271</v>
      </c>
      <c r="K51" s="20">
        <v>45659</v>
      </c>
      <c r="L51" s="18" t="s">
        <v>462</v>
      </c>
      <c r="N51" s="18" t="s">
        <v>461</v>
      </c>
      <c r="O51" s="18" t="s">
        <v>464</v>
      </c>
      <c r="Q51" s="18" t="s">
        <v>97</v>
      </c>
      <c r="R51" s="18" t="s">
        <v>464</v>
      </c>
      <c r="U51" s="18" t="s">
        <v>463</v>
      </c>
      <c r="V51" s="18" t="s">
        <v>465</v>
      </c>
      <c r="W51" s="18" t="s">
        <v>466</v>
      </c>
      <c r="X51" s="18" t="b">
        <v>1</v>
      </c>
      <c r="Y51" s="18" t="s">
        <v>459</v>
      </c>
      <c r="Z51" s="18" t="s">
        <v>467</v>
      </c>
      <c r="AA51" s="18" t="s">
        <v>37</v>
      </c>
      <c r="AB51" s="18" t="s">
        <v>468</v>
      </c>
    </row>
    <row r="52" spans="1:28" s="17" customFormat="1" ht="12" customHeight="1">
      <c r="A52" s="17">
        <v>51</v>
      </c>
      <c r="B52" s="16" t="s">
        <v>1250</v>
      </c>
      <c r="C52" s="18" t="s">
        <v>472</v>
      </c>
      <c r="E52" s="18" t="s">
        <v>469</v>
      </c>
      <c r="F52" s="18" t="s">
        <v>28</v>
      </c>
      <c r="G52" s="18" t="s">
        <v>29</v>
      </c>
      <c r="H52" s="18" t="s">
        <v>29</v>
      </c>
      <c r="I52" s="18" t="s">
        <v>470</v>
      </c>
      <c r="J52" s="18" t="s">
        <v>271</v>
      </c>
      <c r="K52" s="20">
        <v>45871</v>
      </c>
      <c r="L52" s="18" t="s">
        <v>471</v>
      </c>
      <c r="N52" s="18" t="s">
        <v>470</v>
      </c>
      <c r="O52" s="18" t="s">
        <v>473</v>
      </c>
      <c r="P52" s="18" t="s">
        <v>474</v>
      </c>
      <c r="Q52" s="18" t="s">
        <v>454</v>
      </c>
      <c r="R52" s="18" t="s">
        <v>473</v>
      </c>
      <c r="U52" s="18" t="s">
        <v>472</v>
      </c>
      <c r="V52" s="18" t="s">
        <v>472</v>
      </c>
      <c r="W52" s="18" t="s">
        <v>475</v>
      </c>
      <c r="X52" s="18" t="b">
        <v>1</v>
      </c>
      <c r="Y52" s="18" t="s">
        <v>472</v>
      </c>
      <c r="Z52" s="18" t="s">
        <v>472</v>
      </c>
      <c r="AA52" s="18" t="s">
        <v>37</v>
      </c>
      <c r="AB52" s="18" t="s">
        <v>476</v>
      </c>
    </row>
    <row r="53" spans="1:28" s="17" customFormat="1" ht="12" customHeight="1">
      <c r="A53" s="17">
        <v>52</v>
      </c>
      <c r="B53" s="16" t="s">
        <v>1250</v>
      </c>
      <c r="C53" s="18" t="s">
        <v>480</v>
      </c>
      <c r="E53" s="18" t="s">
        <v>477</v>
      </c>
      <c r="F53" s="18" t="s">
        <v>28</v>
      </c>
      <c r="G53" s="18" t="s">
        <v>29</v>
      </c>
      <c r="H53" s="18" t="s">
        <v>29</v>
      </c>
      <c r="I53" s="18" t="s">
        <v>478</v>
      </c>
      <c r="J53" s="18" t="s">
        <v>271</v>
      </c>
      <c r="K53" s="20">
        <v>45871</v>
      </c>
      <c r="L53" s="18" t="s">
        <v>479</v>
      </c>
      <c r="N53" s="18" t="s">
        <v>478</v>
      </c>
      <c r="O53" s="18" t="s">
        <v>481</v>
      </c>
      <c r="P53" s="18" t="s">
        <v>482</v>
      </c>
      <c r="Q53" s="18" t="s">
        <v>224</v>
      </c>
      <c r="R53" s="18" t="s">
        <v>481</v>
      </c>
      <c r="U53" s="18" t="s">
        <v>480</v>
      </c>
      <c r="V53" s="18" t="s">
        <v>480</v>
      </c>
      <c r="W53" s="18" t="s">
        <v>483</v>
      </c>
      <c r="X53" s="18" t="b">
        <v>1</v>
      </c>
      <c r="Y53" s="18" t="s">
        <v>480</v>
      </c>
      <c r="Z53" s="18" t="s">
        <v>480</v>
      </c>
      <c r="AA53" s="18" t="s">
        <v>37</v>
      </c>
      <c r="AB53" s="18" t="s">
        <v>484</v>
      </c>
    </row>
    <row r="54" spans="1:28" s="17" customFormat="1" ht="12" customHeight="1">
      <c r="A54" s="17">
        <v>53</v>
      </c>
      <c r="B54" s="16" t="s">
        <v>1250</v>
      </c>
      <c r="C54" s="18" t="s">
        <v>489</v>
      </c>
      <c r="E54" s="18" t="s">
        <v>485</v>
      </c>
      <c r="F54" s="18" t="s">
        <v>28</v>
      </c>
      <c r="G54" s="18" t="s">
        <v>29</v>
      </c>
      <c r="H54" s="18" t="s">
        <v>29</v>
      </c>
      <c r="I54" s="18" t="s">
        <v>486</v>
      </c>
      <c r="J54" s="18" t="s">
        <v>402</v>
      </c>
      <c r="K54" s="18" t="s">
        <v>487</v>
      </c>
      <c r="L54" s="18" t="s">
        <v>488</v>
      </c>
      <c r="N54" s="18" t="s">
        <v>486</v>
      </c>
      <c r="O54" s="18" t="s">
        <v>490</v>
      </c>
      <c r="P54" s="18" t="s">
        <v>491</v>
      </c>
      <c r="Q54" s="18" t="s">
        <v>492</v>
      </c>
      <c r="R54" s="18" t="s">
        <v>490</v>
      </c>
      <c r="U54" s="18" t="s">
        <v>489</v>
      </c>
      <c r="V54" s="18" t="s">
        <v>489</v>
      </c>
      <c r="W54" s="18" t="s">
        <v>493</v>
      </c>
      <c r="X54" s="18" t="b">
        <v>1</v>
      </c>
      <c r="Y54" s="18" t="s">
        <v>489</v>
      </c>
      <c r="Z54" s="18" t="s">
        <v>489</v>
      </c>
      <c r="AA54" s="18" t="s">
        <v>37</v>
      </c>
      <c r="AB54" s="18" t="s">
        <v>494</v>
      </c>
    </row>
    <row r="55" spans="1:28" s="17" customFormat="1" ht="12" customHeight="1">
      <c r="A55" s="17">
        <v>54</v>
      </c>
      <c r="B55" s="16" t="s">
        <v>1250</v>
      </c>
      <c r="C55" s="18" t="s">
        <v>499</v>
      </c>
      <c r="D55" s="18" t="s">
        <v>495</v>
      </c>
      <c r="E55" s="18" t="s">
        <v>496</v>
      </c>
      <c r="F55" s="18" t="s">
        <v>42</v>
      </c>
      <c r="G55" s="18" t="s">
        <v>29</v>
      </c>
      <c r="H55" s="18" t="s">
        <v>29</v>
      </c>
      <c r="I55" s="18" t="s">
        <v>497</v>
      </c>
      <c r="J55" s="18" t="s">
        <v>271</v>
      </c>
      <c r="K55" s="20">
        <v>45690</v>
      </c>
      <c r="L55" s="18" t="s">
        <v>498</v>
      </c>
      <c r="N55" s="18" t="s">
        <v>497</v>
      </c>
      <c r="O55" s="18" t="s">
        <v>500</v>
      </c>
      <c r="P55" s="18" t="s">
        <v>501</v>
      </c>
      <c r="Q55" s="18" t="s">
        <v>359</v>
      </c>
      <c r="R55" s="18" t="s">
        <v>500</v>
      </c>
      <c r="U55" s="18" t="s">
        <v>499</v>
      </c>
      <c r="V55" s="18" t="s">
        <v>499</v>
      </c>
      <c r="W55" s="18" t="s">
        <v>502</v>
      </c>
      <c r="X55" s="18" t="b">
        <v>1</v>
      </c>
      <c r="Y55" s="18" t="s">
        <v>495</v>
      </c>
      <c r="Z55" s="18" t="s">
        <v>495</v>
      </c>
      <c r="AA55" s="18" t="s">
        <v>37</v>
      </c>
      <c r="AB55" s="18" t="s">
        <v>503</v>
      </c>
    </row>
    <row r="56" spans="1:28" s="17" customFormat="1" ht="12" customHeight="1">
      <c r="A56" s="17">
        <v>55</v>
      </c>
      <c r="B56" s="16" t="s">
        <v>1250</v>
      </c>
      <c r="C56" s="18" t="s">
        <v>507</v>
      </c>
      <c r="E56" s="18" t="s">
        <v>504</v>
      </c>
      <c r="F56" s="18" t="s">
        <v>42</v>
      </c>
      <c r="G56" s="18" t="s">
        <v>29</v>
      </c>
      <c r="H56" s="18" t="s">
        <v>29</v>
      </c>
      <c r="I56" s="18" t="s">
        <v>505</v>
      </c>
      <c r="J56" s="18" t="s">
        <v>271</v>
      </c>
      <c r="K56" s="18" t="s">
        <v>354</v>
      </c>
      <c r="L56" s="18" t="s">
        <v>506</v>
      </c>
      <c r="N56" s="18" t="s">
        <v>505</v>
      </c>
      <c r="O56" s="18" t="s">
        <v>508</v>
      </c>
      <c r="P56" s="18" t="s">
        <v>509</v>
      </c>
      <c r="Q56" s="18" t="s">
        <v>510</v>
      </c>
      <c r="R56" s="18" t="s">
        <v>508</v>
      </c>
      <c r="U56" s="18" t="s">
        <v>507</v>
      </c>
      <c r="V56" s="18" t="s">
        <v>507</v>
      </c>
      <c r="W56" s="18" t="s">
        <v>511</v>
      </c>
      <c r="X56" s="18" t="b">
        <v>1</v>
      </c>
      <c r="Y56" s="18" t="s">
        <v>507</v>
      </c>
      <c r="Z56" s="18" t="s">
        <v>507</v>
      </c>
      <c r="AA56" s="18" t="s">
        <v>37</v>
      </c>
      <c r="AB56" s="18" t="s">
        <v>512</v>
      </c>
    </row>
    <row r="57" spans="1:28" s="17" customFormat="1" ht="12" customHeight="1">
      <c r="A57" s="17">
        <v>56</v>
      </c>
      <c r="B57" s="16" t="s">
        <v>1250</v>
      </c>
      <c r="C57" s="18" t="s">
        <v>517</v>
      </c>
      <c r="D57" s="18" t="s">
        <v>513</v>
      </c>
      <c r="E57" s="18" t="s">
        <v>514</v>
      </c>
      <c r="F57" s="18" t="s">
        <v>42</v>
      </c>
      <c r="G57" s="18" t="s">
        <v>29</v>
      </c>
      <c r="H57" s="18" t="s">
        <v>29</v>
      </c>
      <c r="I57" s="18" t="s">
        <v>515</v>
      </c>
      <c r="J57" s="18" t="s">
        <v>271</v>
      </c>
      <c r="K57" s="20">
        <v>45809</v>
      </c>
      <c r="L57" s="18" t="s">
        <v>516</v>
      </c>
      <c r="N57" s="18" t="s">
        <v>515</v>
      </c>
      <c r="O57" s="18" t="s">
        <v>518</v>
      </c>
      <c r="P57" s="18" t="s">
        <v>519</v>
      </c>
      <c r="Q57" s="18" t="s">
        <v>76</v>
      </c>
      <c r="R57" s="18" t="s">
        <v>518</v>
      </c>
      <c r="U57" s="18" t="s">
        <v>517</v>
      </c>
      <c r="V57" s="18" t="s">
        <v>520</v>
      </c>
      <c r="W57" s="18" t="s">
        <v>521</v>
      </c>
      <c r="X57" s="18" t="b">
        <v>1</v>
      </c>
      <c r="Y57" s="18" t="s">
        <v>513</v>
      </c>
      <c r="Z57" s="18" t="s">
        <v>513</v>
      </c>
      <c r="AA57" s="18" t="s">
        <v>37</v>
      </c>
      <c r="AB57" s="18" t="s">
        <v>522</v>
      </c>
    </row>
    <row r="58" spans="1:28" s="17" customFormat="1" ht="12" customHeight="1">
      <c r="A58" s="17">
        <v>57</v>
      </c>
      <c r="B58" s="16" t="s">
        <v>1250</v>
      </c>
      <c r="C58" s="18" t="s">
        <v>526</v>
      </c>
      <c r="D58" s="18" t="s">
        <v>523</v>
      </c>
      <c r="E58" s="18" t="s">
        <v>514</v>
      </c>
      <c r="F58" s="18" t="s">
        <v>42</v>
      </c>
      <c r="G58" s="18" t="s">
        <v>29</v>
      </c>
      <c r="H58" s="18" t="s">
        <v>29</v>
      </c>
      <c r="I58" s="19" t="s">
        <v>998</v>
      </c>
      <c r="J58" s="18" t="s">
        <v>271</v>
      </c>
      <c r="K58" s="20">
        <v>45691</v>
      </c>
      <c r="L58" s="18" t="s">
        <v>525</v>
      </c>
      <c r="N58" s="18" t="s">
        <v>524</v>
      </c>
      <c r="O58" s="18" t="s">
        <v>527</v>
      </c>
      <c r="P58" s="18" t="s">
        <v>528</v>
      </c>
      <c r="Q58" s="18" t="s">
        <v>435</v>
      </c>
      <c r="R58" s="18" t="s">
        <v>527</v>
      </c>
      <c r="U58" s="18" t="s">
        <v>526</v>
      </c>
      <c r="V58" s="18" t="s">
        <v>529</v>
      </c>
      <c r="W58" s="18" t="s">
        <v>530</v>
      </c>
      <c r="X58" s="18" t="b">
        <v>1</v>
      </c>
      <c r="Y58" s="18" t="s">
        <v>523</v>
      </c>
      <c r="Z58" s="18" t="s">
        <v>523</v>
      </c>
      <c r="AA58" s="18" t="s">
        <v>37</v>
      </c>
      <c r="AB58" s="18" t="s">
        <v>531</v>
      </c>
    </row>
    <row r="59" spans="1:28" s="17" customFormat="1" ht="12" customHeight="1">
      <c r="A59" s="17">
        <v>58</v>
      </c>
      <c r="B59" s="16" t="s">
        <v>1250</v>
      </c>
      <c r="C59" s="18" t="s">
        <v>534</v>
      </c>
      <c r="D59" s="18" t="s">
        <v>532</v>
      </c>
      <c r="E59" s="18" t="s">
        <v>138</v>
      </c>
      <c r="F59" s="18" t="s">
        <v>92</v>
      </c>
      <c r="G59" s="18" t="s">
        <v>110</v>
      </c>
      <c r="H59" s="18" t="s">
        <v>110</v>
      </c>
      <c r="I59" s="21" t="s">
        <v>1183</v>
      </c>
      <c r="J59" s="18" t="s">
        <v>271</v>
      </c>
      <c r="K59" s="20">
        <v>45870</v>
      </c>
      <c r="L59" s="18" t="s">
        <v>533</v>
      </c>
      <c r="N59" s="21" t="s">
        <v>1183</v>
      </c>
      <c r="O59" s="18" t="s">
        <v>535</v>
      </c>
      <c r="P59" s="18" t="s">
        <v>536</v>
      </c>
      <c r="Q59" s="18" t="s">
        <v>140</v>
      </c>
      <c r="R59" s="18" t="s">
        <v>535</v>
      </c>
      <c r="U59" s="18" t="s">
        <v>534</v>
      </c>
      <c r="V59" s="18" t="s">
        <v>534</v>
      </c>
      <c r="W59" s="18" t="s">
        <v>537</v>
      </c>
      <c r="X59" s="18" t="b">
        <v>1</v>
      </c>
      <c r="Y59" s="18" t="s">
        <v>534</v>
      </c>
      <c r="Z59" s="18" t="s">
        <v>534</v>
      </c>
      <c r="AA59" s="18" t="s">
        <v>68</v>
      </c>
      <c r="AB59" s="18" t="s">
        <v>538</v>
      </c>
    </row>
    <row r="60" spans="1:28" s="17" customFormat="1" ht="12" customHeight="1">
      <c r="A60" s="17">
        <v>59</v>
      </c>
      <c r="B60" s="16" t="s">
        <v>1250</v>
      </c>
      <c r="C60" s="18" t="s">
        <v>542</v>
      </c>
      <c r="E60" s="18" t="s">
        <v>539</v>
      </c>
      <c r="F60" s="18" t="s">
        <v>92</v>
      </c>
      <c r="G60" s="18" t="s">
        <v>110</v>
      </c>
      <c r="H60" s="18" t="s">
        <v>110</v>
      </c>
      <c r="I60" s="18" t="s">
        <v>540</v>
      </c>
      <c r="J60" s="18" t="s">
        <v>271</v>
      </c>
      <c r="K60" s="18" t="s">
        <v>354</v>
      </c>
      <c r="L60" s="18" t="s">
        <v>541</v>
      </c>
      <c r="N60" s="18" t="s">
        <v>540</v>
      </c>
      <c r="O60" s="18" t="s">
        <v>543</v>
      </c>
      <c r="P60" s="18" t="s">
        <v>544</v>
      </c>
      <c r="Q60" s="18" t="s">
        <v>545</v>
      </c>
      <c r="R60" s="18" t="s">
        <v>543</v>
      </c>
      <c r="U60" s="18" t="s">
        <v>542</v>
      </c>
      <c r="V60" s="18" t="s">
        <v>542</v>
      </c>
      <c r="W60" s="18" t="s">
        <v>546</v>
      </c>
      <c r="X60" s="18" t="b">
        <v>1</v>
      </c>
      <c r="Y60" s="18" t="s">
        <v>542</v>
      </c>
      <c r="Z60" s="18" t="s">
        <v>542</v>
      </c>
      <c r="AA60" s="18" t="s">
        <v>68</v>
      </c>
      <c r="AB60" s="18" t="s">
        <v>547</v>
      </c>
    </row>
    <row r="61" spans="1:28" s="17" customFormat="1" ht="12" customHeight="1">
      <c r="A61" s="17">
        <v>60</v>
      </c>
      <c r="B61" s="16" t="s">
        <v>1250</v>
      </c>
      <c r="C61" s="18" t="s">
        <v>552</v>
      </c>
      <c r="D61" s="18" t="s">
        <v>548</v>
      </c>
      <c r="E61" s="18" t="s">
        <v>549</v>
      </c>
      <c r="F61" s="18" t="s">
        <v>28</v>
      </c>
      <c r="G61" s="18" t="s">
        <v>110</v>
      </c>
      <c r="H61" s="18" t="s">
        <v>110</v>
      </c>
      <c r="I61" s="18" t="s">
        <v>550</v>
      </c>
      <c r="J61" s="18" t="s">
        <v>271</v>
      </c>
      <c r="K61" s="20">
        <v>45809</v>
      </c>
      <c r="L61" s="18" t="s">
        <v>551</v>
      </c>
      <c r="N61" s="18" t="s">
        <v>550</v>
      </c>
      <c r="O61" s="18" t="s">
        <v>553</v>
      </c>
      <c r="P61" s="18" t="s">
        <v>554</v>
      </c>
      <c r="Q61" s="18" t="s">
        <v>555</v>
      </c>
      <c r="R61" s="18" t="s">
        <v>553</v>
      </c>
      <c r="U61" s="18" t="s">
        <v>552</v>
      </c>
      <c r="V61" s="18" t="s">
        <v>556</v>
      </c>
      <c r="W61" s="18" t="s">
        <v>557</v>
      </c>
      <c r="X61" s="18" t="b">
        <v>1</v>
      </c>
      <c r="Y61" s="18" t="s">
        <v>548</v>
      </c>
      <c r="Z61" s="18" t="s">
        <v>558</v>
      </c>
      <c r="AA61" s="18" t="s">
        <v>68</v>
      </c>
      <c r="AB61" s="18" t="s">
        <v>559</v>
      </c>
    </row>
    <row r="62" spans="1:28" s="17" customFormat="1" ht="12" customHeight="1">
      <c r="A62" s="17">
        <v>61</v>
      </c>
      <c r="B62" s="16" t="s">
        <v>1250</v>
      </c>
      <c r="C62" s="18" t="s">
        <v>564</v>
      </c>
      <c r="D62" s="18" t="s">
        <v>560</v>
      </c>
      <c r="E62" s="18" t="s">
        <v>561</v>
      </c>
      <c r="F62" s="18" t="s">
        <v>28</v>
      </c>
      <c r="G62" s="18" t="s">
        <v>110</v>
      </c>
      <c r="H62" s="18" t="s">
        <v>110</v>
      </c>
      <c r="I62" s="18" t="s">
        <v>562</v>
      </c>
      <c r="J62" s="18" t="s">
        <v>271</v>
      </c>
      <c r="K62" s="20">
        <v>45718</v>
      </c>
      <c r="L62" s="18" t="s">
        <v>563</v>
      </c>
      <c r="N62" s="18" t="s">
        <v>562</v>
      </c>
      <c r="O62" s="18" t="s">
        <v>565</v>
      </c>
      <c r="Q62" s="18" t="s">
        <v>566</v>
      </c>
      <c r="R62" s="18" t="s">
        <v>565</v>
      </c>
      <c r="U62" s="18" t="s">
        <v>564</v>
      </c>
      <c r="V62" s="18" t="s">
        <v>564</v>
      </c>
      <c r="W62" s="18" t="s">
        <v>567</v>
      </c>
      <c r="X62" s="18" t="b">
        <v>1</v>
      </c>
      <c r="Y62" s="18" t="s">
        <v>564</v>
      </c>
      <c r="Z62" s="18" t="s">
        <v>564</v>
      </c>
      <c r="AA62" s="18" t="s">
        <v>68</v>
      </c>
      <c r="AB62" s="18" t="s">
        <v>568</v>
      </c>
    </row>
    <row r="63" spans="1:28" s="17" customFormat="1" ht="12" customHeight="1">
      <c r="A63" s="17">
        <v>62</v>
      </c>
      <c r="B63" s="16" t="s">
        <v>1250</v>
      </c>
      <c r="C63" s="18" t="s">
        <v>572</v>
      </c>
      <c r="E63" s="18" t="s">
        <v>569</v>
      </c>
      <c r="F63" s="18" t="s">
        <v>28</v>
      </c>
      <c r="G63" s="18" t="s">
        <v>110</v>
      </c>
      <c r="H63" s="18" t="s">
        <v>110</v>
      </c>
      <c r="I63" s="18" t="s">
        <v>570</v>
      </c>
      <c r="J63" s="18" t="s">
        <v>271</v>
      </c>
      <c r="K63" s="20">
        <v>45809</v>
      </c>
      <c r="L63" s="18" t="s">
        <v>571</v>
      </c>
      <c r="N63" s="18" t="s">
        <v>570</v>
      </c>
      <c r="O63" s="18" t="s">
        <v>573</v>
      </c>
      <c r="Q63" s="18" t="s">
        <v>566</v>
      </c>
      <c r="R63" s="18" t="s">
        <v>573</v>
      </c>
      <c r="U63" s="18" t="s">
        <v>572</v>
      </c>
      <c r="V63" s="18" t="s">
        <v>572</v>
      </c>
      <c r="W63" s="18" t="s">
        <v>574</v>
      </c>
      <c r="X63" s="18" t="b">
        <v>1</v>
      </c>
      <c r="Y63" s="18" t="s">
        <v>572</v>
      </c>
      <c r="Z63" s="18" t="s">
        <v>572</v>
      </c>
      <c r="AA63" s="18" t="s">
        <v>68</v>
      </c>
      <c r="AB63" s="18" t="s">
        <v>575</v>
      </c>
    </row>
    <row r="64" spans="1:28" s="17" customFormat="1" ht="12" customHeight="1">
      <c r="A64" s="17">
        <v>63</v>
      </c>
      <c r="B64" s="16" t="s">
        <v>1250</v>
      </c>
      <c r="C64" s="18" t="s">
        <v>579</v>
      </c>
      <c r="E64" s="18" t="s">
        <v>576</v>
      </c>
      <c r="F64" s="18" t="s">
        <v>28</v>
      </c>
      <c r="G64" s="18" t="s">
        <v>110</v>
      </c>
      <c r="H64" s="18" t="s">
        <v>110</v>
      </c>
      <c r="I64" s="18" t="s">
        <v>577</v>
      </c>
      <c r="J64" s="18" t="s">
        <v>271</v>
      </c>
      <c r="K64" s="20">
        <v>45810</v>
      </c>
      <c r="L64" s="18" t="s">
        <v>578</v>
      </c>
      <c r="N64" s="18" t="s">
        <v>577</v>
      </c>
      <c r="O64" s="18" t="s">
        <v>580</v>
      </c>
      <c r="P64" s="18" t="s">
        <v>581</v>
      </c>
      <c r="Q64" s="18" t="s">
        <v>492</v>
      </c>
      <c r="R64" s="18" t="s">
        <v>580</v>
      </c>
      <c r="U64" s="18" t="s">
        <v>579</v>
      </c>
      <c r="V64" s="18" t="s">
        <v>579</v>
      </c>
      <c r="W64" s="18" t="s">
        <v>582</v>
      </c>
      <c r="X64" s="18" t="b">
        <v>1</v>
      </c>
      <c r="Y64" s="18" t="s">
        <v>579</v>
      </c>
      <c r="Z64" s="18" t="s">
        <v>579</v>
      </c>
      <c r="AA64" s="18" t="s">
        <v>68</v>
      </c>
      <c r="AB64" s="18" t="s">
        <v>583</v>
      </c>
    </row>
    <row r="65" spans="1:28" s="17" customFormat="1" ht="12" customHeight="1">
      <c r="A65" s="17">
        <v>64</v>
      </c>
      <c r="B65" s="16" t="s">
        <v>1250</v>
      </c>
      <c r="C65" s="18" t="s">
        <v>588</v>
      </c>
      <c r="D65" s="18" t="s">
        <v>584</v>
      </c>
      <c r="E65" s="18" t="s">
        <v>1016</v>
      </c>
      <c r="F65" s="18" t="s">
        <v>28</v>
      </c>
      <c r="G65" s="18" t="s">
        <v>585</v>
      </c>
      <c r="H65" s="18" t="s">
        <v>585</v>
      </c>
      <c r="I65" s="18" t="s">
        <v>586</v>
      </c>
      <c r="J65" s="18" t="s">
        <v>271</v>
      </c>
      <c r="K65" s="20">
        <v>45718</v>
      </c>
      <c r="L65" s="18" t="s">
        <v>587</v>
      </c>
      <c r="N65" s="18" t="s">
        <v>586</v>
      </c>
      <c r="O65" s="18" t="s">
        <v>589</v>
      </c>
      <c r="P65" s="18" t="s">
        <v>590</v>
      </c>
      <c r="Q65" s="18" t="s">
        <v>591</v>
      </c>
      <c r="R65" s="18" t="s">
        <v>589</v>
      </c>
      <c r="U65" s="18" t="s">
        <v>588</v>
      </c>
      <c r="V65" s="18" t="s">
        <v>588</v>
      </c>
      <c r="W65" s="18" t="s">
        <v>592</v>
      </c>
      <c r="X65" s="18" t="b">
        <v>1</v>
      </c>
      <c r="Y65" s="18" t="s">
        <v>588</v>
      </c>
      <c r="Z65" s="18" t="s">
        <v>588</v>
      </c>
      <c r="AA65" s="18" t="s">
        <v>198</v>
      </c>
      <c r="AB65" s="18" t="s">
        <v>593</v>
      </c>
    </row>
    <row r="66" spans="1:28" s="17" customFormat="1" ht="12" customHeight="1">
      <c r="A66" s="17">
        <v>65</v>
      </c>
      <c r="B66" s="16" t="s">
        <v>1250</v>
      </c>
      <c r="C66" s="18" t="s">
        <v>597</v>
      </c>
      <c r="E66" s="18" t="s">
        <v>594</v>
      </c>
      <c r="F66" s="18" t="s">
        <v>28</v>
      </c>
      <c r="G66" s="18" t="s">
        <v>585</v>
      </c>
      <c r="H66" s="18" t="s">
        <v>585</v>
      </c>
      <c r="I66" s="18" t="s">
        <v>595</v>
      </c>
      <c r="J66" s="18" t="s">
        <v>271</v>
      </c>
      <c r="K66" s="20">
        <v>45839</v>
      </c>
      <c r="L66" s="18" t="s">
        <v>596</v>
      </c>
      <c r="N66" s="18" t="s">
        <v>595</v>
      </c>
      <c r="O66" s="18" t="s">
        <v>598</v>
      </c>
      <c r="P66" s="18" t="s">
        <v>599</v>
      </c>
      <c r="Q66" s="18" t="s">
        <v>591</v>
      </c>
      <c r="R66" s="18" t="s">
        <v>598</v>
      </c>
      <c r="U66" s="18" t="s">
        <v>597</v>
      </c>
      <c r="V66" s="18" t="s">
        <v>597</v>
      </c>
      <c r="W66" s="18" t="s">
        <v>600</v>
      </c>
      <c r="X66" s="18" t="b">
        <v>1</v>
      </c>
      <c r="Y66" s="18" t="s">
        <v>597</v>
      </c>
      <c r="Z66" s="18" t="s">
        <v>597</v>
      </c>
      <c r="AA66" s="18" t="s">
        <v>198</v>
      </c>
      <c r="AB66" s="18" t="s">
        <v>601</v>
      </c>
    </row>
    <row r="67" spans="1:28" s="17" customFormat="1" ht="12" customHeight="1">
      <c r="A67" s="17">
        <v>66</v>
      </c>
      <c r="B67" s="16" t="s">
        <v>1250</v>
      </c>
      <c r="C67" s="18" t="s">
        <v>605</v>
      </c>
      <c r="E67" s="18" t="s">
        <v>602</v>
      </c>
      <c r="F67" s="18" t="s">
        <v>28</v>
      </c>
      <c r="G67" s="18" t="s">
        <v>585</v>
      </c>
      <c r="H67" s="18" t="s">
        <v>585</v>
      </c>
      <c r="I67" s="18" t="s">
        <v>603</v>
      </c>
      <c r="J67" s="18" t="s">
        <v>271</v>
      </c>
      <c r="K67" s="20">
        <v>45871</v>
      </c>
      <c r="L67" s="18" t="s">
        <v>604</v>
      </c>
      <c r="N67" s="18" t="s">
        <v>603</v>
      </c>
      <c r="O67" s="18" t="s">
        <v>606</v>
      </c>
      <c r="P67" s="18" t="s">
        <v>607</v>
      </c>
      <c r="Q67" s="18" t="s">
        <v>608</v>
      </c>
      <c r="R67" s="18" t="s">
        <v>606</v>
      </c>
      <c r="U67" s="18" t="s">
        <v>605</v>
      </c>
      <c r="V67" s="18" t="s">
        <v>605</v>
      </c>
      <c r="W67" s="18" t="s">
        <v>609</v>
      </c>
      <c r="X67" s="18" t="b">
        <v>1</v>
      </c>
      <c r="Y67" s="18" t="s">
        <v>605</v>
      </c>
      <c r="Z67" s="18" t="s">
        <v>605</v>
      </c>
      <c r="AA67" s="18" t="s">
        <v>198</v>
      </c>
      <c r="AB67" s="18" t="s">
        <v>610</v>
      </c>
    </row>
    <row r="68" spans="1:28" s="17" customFormat="1" ht="12" customHeight="1">
      <c r="A68" s="17">
        <v>67</v>
      </c>
      <c r="B68" s="16" t="s">
        <v>1250</v>
      </c>
      <c r="C68" s="18" t="s">
        <v>616</v>
      </c>
      <c r="D68" s="18" t="s">
        <v>611</v>
      </c>
      <c r="E68" s="18" t="s">
        <v>612</v>
      </c>
      <c r="F68" s="18" t="s">
        <v>92</v>
      </c>
      <c r="G68" s="18" t="s">
        <v>613</v>
      </c>
      <c r="H68" s="18" t="s">
        <v>613</v>
      </c>
      <c r="I68" s="18" t="s">
        <v>614</v>
      </c>
      <c r="J68" s="18" t="s">
        <v>271</v>
      </c>
      <c r="K68" s="20">
        <v>45659</v>
      </c>
      <c r="L68" s="18" t="s">
        <v>615</v>
      </c>
      <c r="N68" s="18" t="s">
        <v>614</v>
      </c>
      <c r="O68" s="18" t="s">
        <v>617</v>
      </c>
      <c r="P68" s="18" t="s">
        <v>618</v>
      </c>
      <c r="Q68" s="18" t="s">
        <v>619</v>
      </c>
      <c r="R68" s="18" t="s">
        <v>617</v>
      </c>
      <c r="U68" s="18" t="s">
        <v>616</v>
      </c>
      <c r="V68" s="18" t="s">
        <v>616</v>
      </c>
      <c r="W68" s="18" t="s">
        <v>620</v>
      </c>
      <c r="X68" s="18" t="b">
        <v>1</v>
      </c>
      <c r="Y68" s="18" t="s">
        <v>616</v>
      </c>
      <c r="Z68" s="18" t="s">
        <v>616</v>
      </c>
      <c r="AA68" s="18" t="s">
        <v>37</v>
      </c>
      <c r="AB68" s="18" t="s">
        <v>621</v>
      </c>
    </row>
    <row r="69" spans="1:28" s="17" customFormat="1" ht="12" customHeight="1">
      <c r="A69" s="17">
        <v>68</v>
      </c>
      <c r="B69" s="16" t="s">
        <v>1250</v>
      </c>
      <c r="C69" s="18" t="s">
        <v>625</v>
      </c>
      <c r="E69" s="18" t="s">
        <v>622</v>
      </c>
      <c r="F69" s="18" t="s">
        <v>92</v>
      </c>
      <c r="G69" s="18" t="s">
        <v>613</v>
      </c>
      <c r="H69" s="18" t="s">
        <v>613</v>
      </c>
      <c r="I69" s="18" t="s">
        <v>623</v>
      </c>
      <c r="J69" s="18" t="s">
        <v>271</v>
      </c>
      <c r="K69" s="20">
        <v>45779</v>
      </c>
      <c r="L69" s="18" t="s">
        <v>624</v>
      </c>
      <c r="N69" s="18" t="s">
        <v>623</v>
      </c>
      <c r="O69" s="18" t="s">
        <v>626</v>
      </c>
      <c r="P69" s="18" t="s">
        <v>627</v>
      </c>
      <c r="Q69" s="18" t="s">
        <v>132</v>
      </c>
      <c r="R69" s="18" t="s">
        <v>626</v>
      </c>
      <c r="U69" s="18" t="s">
        <v>625</v>
      </c>
      <c r="V69" s="18" t="s">
        <v>625</v>
      </c>
      <c r="W69" s="18" t="s">
        <v>628</v>
      </c>
      <c r="X69" s="18" t="b">
        <v>1</v>
      </c>
      <c r="Y69" s="18" t="s">
        <v>625</v>
      </c>
      <c r="Z69" s="18" t="s">
        <v>625</v>
      </c>
      <c r="AA69" s="18" t="s">
        <v>37</v>
      </c>
      <c r="AB69" s="18" t="s">
        <v>629</v>
      </c>
    </row>
    <row r="70" spans="1:28" s="17" customFormat="1" ht="12" customHeight="1">
      <c r="A70" s="17">
        <v>69</v>
      </c>
      <c r="B70" s="16" t="s">
        <v>1250</v>
      </c>
      <c r="C70" s="18" t="s">
        <v>633</v>
      </c>
      <c r="E70" s="18" t="s">
        <v>630</v>
      </c>
      <c r="F70" s="18" t="s">
        <v>28</v>
      </c>
      <c r="G70" s="18" t="s">
        <v>613</v>
      </c>
      <c r="H70" s="18" t="s">
        <v>613</v>
      </c>
      <c r="I70" s="18" t="s">
        <v>631</v>
      </c>
      <c r="J70" s="18" t="s">
        <v>271</v>
      </c>
      <c r="K70" s="20">
        <v>45839</v>
      </c>
      <c r="L70" s="18" t="s">
        <v>632</v>
      </c>
      <c r="N70" s="18" t="s">
        <v>631</v>
      </c>
      <c r="O70" s="18" t="s">
        <v>634</v>
      </c>
      <c r="Q70" s="18" t="s">
        <v>276</v>
      </c>
      <c r="R70" s="18" t="s">
        <v>634</v>
      </c>
      <c r="U70" s="18" t="s">
        <v>633</v>
      </c>
      <c r="V70" s="18" t="s">
        <v>633</v>
      </c>
      <c r="W70" s="18" t="s">
        <v>635</v>
      </c>
      <c r="X70" s="18" t="b">
        <v>1</v>
      </c>
      <c r="Y70" s="18" t="s">
        <v>633</v>
      </c>
      <c r="Z70" s="18" t="s">
        <v>633</v>
      </c>
      <c r="AA70" s="18" t="s">
        <v>37</v>
      </c>
      <c r="AB70" s="18" t="s">
        <v>636</v>
      </c>
    </row>
    <row r="71" spans="1:28" s="17" customFormat="1" ht="12" customHeight="1">
      <c r="A71" s="17">
        <v>70</v>
      </c>
      <c r="B71" s="16" t="s">
        <v>1250</v>
      </c>
      <c r="C71" s="18" t="s">
        <v>642</v>
      </c>
      <c r="D71" s="18" t="s">
        <v>637</v>
      </c>
      <c r="E71" s="18" t="s">
        <v>638</v>
      </c>
      <c r="F71" s="18" t="s">
        <v>639</v>
      </c>
      <c r="G71" s="18" t="s">
        <v>1241</v>
      </c>
      <c r="H71" s="18" t="s">
        <v>640</v>
      </c>
      <c r="I71" s="18" t="s">
        <v>44</v>
      </c>
      <c r="J71" s="18" t="s">
        <v>271</v>
      </c>
      <c r="K71" s="20">
        <v>45718</v>
      </c>
      <c r="L71" s="18" t="s">
        <v>641</v>
      </c>
      <c r="N71" s="18" t="s">
        <v>44</v>
      </c>
      <c r="O71" s="18" t="s">
        <v>45</v>
      </c>
      <c r="P71" s="18" t="s">
        <v>46</v>
      </c>
      <c r="Q71" s="18" t="s">
        <v>47</v>
      </c>
      <c r="R71" s="18" t="s">
        <v>45</v>
      </c>
      <c r="U71" s="18" t="s">
        <v>642</v>
      </c>
      <c r="V71" s="18" t="s">
        <v>642</v>
      </c>
      <c r="W71" s="18" t="s">
        <v>643</v>
      </c>
      <c r="X71" s="18" t="b">
        <v>1</v>
      </c>
      <c r="Y71" s="18" t="s">
        <v>644</v>
      </c>
      <c r="Z71" s="18" t="s">
        <v>645</v>
      </c>
      <c r="AA71" s="18" t="s">
        <v>646</v>
      </c>
      <c r="AB71" s="18" t="s">
        <v>647</v>
      </c>
    </row>
    <row r="72" spans="1:28" s="17" customFormat="1" ht="12" customHeight="1">
      <c r="A72" s="17">
        <v>71</v>
      </c>
      <c r="B72" s="16" t="s">
        <v>1250</v>
      </c>
      <c r="C72" s="18" t="s">
        <v>651</v>
      </c>
      <c r="D72" s="18" t="s">
        <v>648</v>
      </c>
      <c r="E72" s="18" t="s">
        <v>41</v>
      </c>
      <c r="F72" s="18" t="s">
        <v>42</v>
      </c>
      <c r="G72" s="18" t="s">
        <v>1241</v>
      </c>
      <c r="H72" s="18" t="s">
        <v>640</v>
      </c>
      <c r="I72" s="18" t="s">
        <v>649</v>
      </c>
      <c r="J72" s="18" t="s">
        <v>271</v>
      </c>
      <c r="K72" s="20">
        <v>45718</v>
      </c>
      <c r="L72" s="18" t="s">
        <v>650</v>
      </c>
      <c r="N72" s="18" t="s">
        <v>649</v>
      </c>
      <c r="O72" s="18" t="s">
        <v>652</v>
      </c>
      <c r="P72" s="18" t="s">
        <v>653</v>
      </c>
      <c r="Q72" s="18" t="s">
        <v>104</v>
      </c>
      <c r="R72" s="18" t="s">
        <v>652</v>
      </c>
      <c r="U72" s="18" t="s">
        <v>651</v>
      </c>
      <c r="V72" s="18" t="s">
        <v>651</v>
      </c>
      <c r="W72" s="18" t="s">
        <v>654</v>
      </c>
      <c r="X72" s="18" t="b">
        <v>1</v>
      </c>
      <c r="Y72" s="18" t="s">
        <v>648</v>
      </c>
      <c r="Z72" s="18" t="s">
        <v>648</v>
      </c>
      <c r="AA72" s="18" t="s">
        <v>646</v>
      </c>
      <c r="AB72" s="18" t="s">
        <v>655</v>
      </c>
    </row>
    <row r="73" spans="1:28" s="17" customFormat="1" ht="12" customHeight="1">
      <c r="A73" s="17">
        <v>72</v>
      </c>
      <c r="B73" s="16" t="s">
        <v>1250</v>
      </c>
      <c r="C73" s="18" t="s">
        <v>661</v>
      </c>
      <c r="D73" s="18" t="s">
        <v>656</v>
      </c>
      <c r="E73" s="18" t="s">
        <v>657</v>
      </c>
      <c r="F73" s="18" t="s">
        <v>42</v>
      </c>
      <c r="G73" s="18" t="s">
        <v>1241</v>
      </c>
      <c r="H73" s="18" t="s">
        <v>658</v>
      </c>
      <c r="I73" s="18" t="s">
        <v>659</v>
      </c>
      <c r="J73" s="18" t="s">
        <v>271</v>
      </c>
      <c r="K73" s="20">
        <v>45810</v>
      </c>
      <c r="L73" s="18" t="s">
        <v>660</v>
      </c>
      <c r="N73" s="18" t="s">
        <v>659</v>
      </c>
      <c r="O73" s="18" t="s">
        <v>662</v>
      </c>
      <c r="P73" s="18" t="s">
        <v>663</v>
      </c>
      <c r="Q73" s="18" t="s">
        <v>664</v>
      </c>
      <c r="R73" s="18" t="s">
        <v>662</v>
      </c>
      <c r="U73" s="18" t="s">
        <v>661</v>
      </c>
      <c r="V73" s="18" t="s">
        <v>661</v>
      </c>
      <c r="W73" s="18" t="s">
        <v>665</v>
      </c>
      <c r="X73" s="18" t="b">
        <v>1</v>
      </c>
      <c r="Y73" s="18" t="s">
        <v>656</v>
      </c>
      <c r="Z73" s="18" t="s">
        <v>656</v>
      </c>
      <c r="AA73" s="18" t="s">
        <v>666</v>
      </c>
      <c r="AB73" s="18" t="s">
        <v>667</v>
      </c>
    </row>
    <row r="74" spans="1:28" s="17" customFormat="1" ht="12" customHeight="1">
      <c r="A74" s="17">
        <v>73</v>
      </c>
      <c r="B74" s="16" t="s">
        <v>1250</v>
      </c>
      <c r="C74" s="18" t="s">
        <v>672</v>
      </c>
      <c r="E74" s="18" t="s">
        <v>668</v>
      </c>
      <c r="F74" s="18" t="s">
        <v>429</v>
      </c>
      <c r="G74" s="18" t="s">
        <v>1241</v>
      </c>
      <c r="H74" s="18" t="s">
        <v>669</v>
      </c>
      <c r="I74" s="18" t="s">
        <v>670</v>
      </c>
      <c r="J74" s="18" t="s">
        <v>271</v>
      </c>
      <c r="K74" s="20">
        <v>45748</v>
      </c>
      <c r="L74" s="18" t="s">
        <v>671</v>
      </c>
      <c r="N74" s="18" t="s">
        <v>670</v>
      </c>
      <c r="O74" s="18" t="s">
        <v>673</v>
      </c>
      <c r="P74" s="18" t="s">
        <v>674</v>
      </c>
      <c r="Q74" s="18" t="s">
        <v>276</v>
      </c>
      <c r="R74" s="18" t="s">
        <v>673</v>
      </c>
      <c r="U74" s="18" t="s">
        <v>672</v>
      </c>
      <c r="V74" s="18" t="s">
        <v>672</v>
      </c>
      <c r="W74" s="18" t="s">
        <v>675</v>
      </c>
      <c r="X74" s="18" t="b">
        <v>1</v>
      </c>
      <c r="Y74" s="18" t="s">
        <v>672</v>
      </c>
      <c r="Z74" s="18" t="s">
        <v>672</v>
      </c>
      <c r="AA74" s="18" t="s">
        <v>646</v>
      </c>
      <c r="AB74" s="18" t="s">
        <v>676</v>
      </c>
    </row>
    <row r="75" spans="1:28" s="17" customFormat="1" ht="12" customHeight="1">
      <c r="A75" s="17">
        <v>74</v>
      </c>
      <c r="B75" s="16" t="s">
        <v>1250</v>
      </c>
      <c r="C75" s="18" t="s">
        <v>679</v>
      </c>
      <c r="E75" s="18" t="s">
        <v>677</v>
      </c>
      <c r="F75" s="18" t="s">
        <v>42</v>
      </c>
      <c r="G75" s="18" t="s">
        <v>1241</v>
      </c>
      <c r="H75" s="18" t="s">
        <v>640</v>
      </c>
      <c r="I75" s="18" t="s">
        <v>1243</v>
      </c>
      <c r="J75" s="18" t="s">
        <v>402</v>
      </c>
      <c r="L75" s="18" t="s">
        <v>678</v>
      </c>
      <c r="R75" s="18" t="s">
        <v>1266</v>
      </c>
      <c r="U75" s="18" t="s">
        <v>679</v>
      </c>
      <c r="V75" s="18" t="s">
        <v>679</v>
      </c>
      <c r="W75" s="18" t="s">
        <v>680</v>
      </c>
      <c r="X75" s="18" t="b">
        <v>0</v>
      </c>
      <c r="Y75" s="18" t="s">
        <v>679</v>
      </c>
      <c r="Z75" s="18" t="s">
        <v>679</v>
      </c>
      <c r="AA75" s="18" t="s">
        <v>646</v>
      </c>
      <c r="AB75" s="18" t="s">
        <v>681</v>
      </c>
    </row>
    <row r="76" spans="1:28" s="17" customFormat="1" ht="12" customHeight="1">
      <c r="A76" s="17">
        <v>75</v>
      </c>
      <c r="B76" s="16" t="s">
        <v>1250</v>
      </c>
      <c r="C76" s="18" t="s">
        <v>684</v>
      </c>
      <c r="E76" s="18" t="s">
        <v>682</v>
      </c>
      <c r="F76" s="18" t="s">
        <v>42</v>
      </c>
      <c r="G76" s="18" t="s">
        <v>1241</v>
      </c>
      <c r="H76" s="18" t="s">
        <v>640</v>
      </c>
      <c r="I76" s="18" t="s">
        <v>1243</v>
      </c>
      <c r="J76" s="18" t="s">
        <v>402</v>
      </c>
      <c r="L76" s="18" t="s">
        <v>683</v>
      </c>
      <c r="R76" s="18" t="s">
        <v>1267</v>
      </c>
      <c r="U76" s="18" t="s">
        <v>684</v>
      </c>
      <c r="V76" s="18" t="s">
        <v>684</v>
      </c>
      <c r="W76" s="18" t="s">
        <v>685</v>
      </c>
      <c r="X76" s="18" t="b">
        <v>0</v>
      </c>
      <c r="Y76" s="18" t="s">
        <v>684</v>
      </c>
      <c r="Z76" s="18" t="s">
        <v>684</v>
      </c>
      <c r="AA76" s="18" t="s">
        <v>646</v>
      </c>
      <c r="AB76" s="18" t="s">
        <v>686</v>
      </c>
    </row>
    <row r="77" spans="1:28" s="17" customFormat="1" ht="12" customHeight="1">
      <c r="A77" s="17">
        <v>76</v>
      </c>
      <c r="B77" s="16" t="s">
        <v>1250</v>
      </c>
      <c r="C77" s="18" t="s">
        <v>688</v>
      </c>
      <c r="E77" s="18" t="s">
        <v>687</v>
      </c>
      <c r="F77" s="18" t="s">
        <v>42</v>
      </c>
      <c r="G77" s="18" t="s">
        <v>1241</v>
      </c>
      <c r="H77" s="18" t="s">
        <v>1140</v>
      </c>
      <c r="I77" s="18" t="s">
        <v>1243</v>
      </c>
      <c r="J77" s="18" t="s">
        <v>402</v>
      </c>
      <c r="L77" s="18" t="s">
        <v>683</v>
      </c>
      <c r="R77" s="18" t="s">
        <v>1268</v>
      </c>
      <c r="U77" s="18" t="s">
        <v>688</v>
      </c>
      <c r="V77" s="18" t="s">
        <v>688</v>
      </c>
      <c r="W77" s="18" t="s">
        <v>689</v>
      </c>
      <c r="X77" s="18" t="b">
        <v>0</v>
      </c>
      <c r="Y77" s="18" t="s">
        <v>688</v>
      </c>
      <c r="Z77" s="18" t="s">
        <v>688</v>
      </c>
      <c r="AA77" s="18" t="s">
        <v>646</v>
      </c>
      <c r="AB77" s="18" t="s">
        <v>690</v>
      </c>
    </row>
    <row r="78" spans="1:28" s="17" customFormat="1" ht="12" customHeight="1">
      <c r="A78" s="17">
        <v>77</v>
      </c>
      <c r="B78" s="16" t="s">
        <v>1250</v>
      </c>
      <c r="C78" s="18" t="s">
        <v>691</v>
      </c>
      <c r="F78" s="18" t="s">
        <v>639</v>
      </c>
      <c r="G78" s="18" t="s">
        <v>1241</v>
      </c>
      <c r="H78" s="18" t="s">
        <v>640</v>
      </c>
      <c r="I78" s="18" t="s">
        <v>1243</v>
      </c>
      <c r="J78" s="18" t="s">
        <v>402</v>
      </c>
      <c r="L78" s="18" t="s">
        <v>683</v>
      </c>
      <c r="R78" s="18" t="s">
        <v>1269</v>
      </c>
      <c r="U78" s="18" t="s">
        <v>691</v>
      </c>
      <c r="V78" s="18" t="s">
        <v>691</v>
      </c>
      <c r="W78" s="18" t="s">
        <v>692</v>
      </c>
      <c r="X78" s="18" t="b">
        <v>0</v>
      </c>
      <c r="Y78" s="18" t="s">
        <v>691</v>
      </c>
      <c r="Z78" s="18" t="s">
        <v>691</v>
      </c>
      <c r="AA78" s="18" t="s">
        <v>646</v>
      </c>
      <c r="AB78" s="18" t="s">
        <v>693</v>
      </c>
    </row>
    <row r="79" spans="1:28" s="17" customFormat="1" ht="12" customHeight="1">
      <c r="A79" s="17">
        <v>78</v>
      </c>
      <c r="B79" s="16" t="s">
        <v>1250</v>
      </c>
      <c r="C79" s="18" t="s">
        <v>694</v>
      </c>
      <c r="F79" s="18" t="s">
        <v>639</v>
      </c>
      <c r="G79" s="18" t="s">
        <v>1241</v>
      </c>
      <c r="H79" s="18" t="s">
        <v>640</v>
      </c>
      <c r="I79" s="18" t="s">
        <v>1243</v>
      </c>
      <c r="J79" s="18" t="s">
        <v>402</v>
      </c>
      <c r="L79" s="18" t="s">
        <v>683</v>
      </c>
      <c r="R79" s="18" t="s">
        <v>1270</v>
      </c>
      <c r="U79" s="18" t="s">
        <v>694</v>
      </c>
      <c r="V79" s="18" t="s">
        <v>694</v>
      </c>
      <c r="W79" s="18" t="s">
        <v>695</v>
      </c>
      <c r="X79" s="18" t="b">
        <v>0</v>
      </c>
      <c r="Y79" s="18" t="s">
        <v>694</v>
      </c>
      <c r="Z79" s="18" t="s">
        <v>694</v>
      </c>
      <c r="AA79" s="18" t="s">
        <v>646</v>
      </c>
      <c r="AB79" s="18" t="s">
        <v>696</v>
      </c>
    </row>
    <row r="80" spans="1:28" s="17" customFormat="1" ht="12" customHeight="1">
      <c r="A80" s="17">
        <v>79</v>
      </c>
      <c r="B80" s="16" t="s">
        <v>1250</v>
      </c>
      <c r="C80" s="18" t="s">
        <v>697</v>
      </c>
      <c r="E80" s="18" t="s">
        <v>657</v>
      </c>
      <c r="F80" s="18" t="s">
        <v>42</v>
      </c>
      <c r="G80" s="18" t="s">
        <v>1241</v>
      </c>
      <c r="H80" s="18" t="s">
        <v>640</v>
      </c>
      <c r="I80" s="18" t="s">
        <v>1243</v>
      </c>
      <c r="J80" s="18" t="s">
        <v>402</v>
      </c>
      <c r="L80" s="18" t="s">
        <v>683</v>
      </c>
      <c r="R80" s="18" t="s">
        <v>1271</v>
      </c>
      <c r="U80" s="18" t="s">
        <v>697</v>
      </c>
      <c r="V80" s="18" t="s">
        <v>697</v>
      </c>
      <c r="W80" s="18" t="s">
        <v>698</v>
      </c>
      <c r="X80" s="18" t="b">
        <v>0</v>
      </c>
      <c r="Y80" s="18" t="s">
        <v>697</v>
      </c>
      <c r="Z80" s="18" t="s">
        <v>697</v>
      </c>
      <c r="AA80" s="18" t="s">
        <v>646</v>
      </c>
      <c r="AB80" s="18" t="s">
        <v>699</v>
      </c>
    </row>
    <row r="81" spans="1:28" s="17" customFormat="1" ht="12" customHeight="1">
      <c r="A81" s="17">
        <v>80</v>
      </c>
      <c r="B81" s="16" t="s">
        <v>1250</v>
      </c>
      <c r="C81" s="18" t="s">
        <v>704</v>
      </c>
      <c r="E81" s="18" t="s">
        <v>700</v>
      </c>
      <c r="F81" s="18" t="s">
        <v>42</v>
      </c>
      <c r="G81" s="18" t="s">
        <v>1241</v>
      </c>
      <c r="H81" s="18" t="s">
        <v>701</v>
      </c>
      <c r="I81" s="18" t="s">
        <v>702</v>
      </c>
      <c r="J81" s="18" t="s">
        <v>402</v>
      </c>
      <c r="K81" s="18" t="s">
        <v>354</v>
      </c>
      <c r="L81" s="18" t="s">
        <v>703</v>
      </c>
      <c r="N81" s="18" t="s">
        <v>702</v>
      </c>
      <c r="O81" s="18" t="s">
        <v>705</v>
      </c>
      <c r="Q81" s="18" t="s">
        <v>706</v>
      </c>
      <c r="R81" s="18" t="s">
        <v>705</v>
      </c>
      <c r="U81" s="18" t="s">
        <v>704</v>
      </c>
      <c r="V81" s="18" t="s">
        <v>704</v>
      </c>
      <c r="W81" s="18" t="s">
        <v>707</v>
      </c>
      <c r="X81" s="18" t="b">
        <v>1</v>
      </c>
      <c r="Y81" s="18" t="s">
        <v>704</v>
      </c>
      <c r="Z81" s="18" t="s">
        <v>704</v>
      </c>
      <c r="AA81" s="18" t="s">
        <v>708</v>
      </c>
      <c r="AB81" s="18" t="s">
        <v>709</v>
      </c>
    </row>
    <row r="82" spans="1:28" s="17" customFormat="1" ht="12" customHeight="1">
      <c r="A82" s="17">
        <v>81</v>
      </c>
      <c r="B82" s="16" t="s">
        <v>1250</v>
      </c>
      <c r="C82" s="18" t="s">
        <v>711</v>
      </c>
      <c r="F82" s="18" t="s">
        <v>42</v>
      </c>
      <c r="G82" s="18" t="s">
        <v>1241</v>
      </c>
      <c r="H82" s="18" t="s">
        <v>710</v>
      </c>
      <c r="I82" s="18" t="s">
        <v>1243</v>
      </c>
      <c r="J82" s="18" t="s">
        <v>402</v>
      </c>
      <c r="L82" s="18" t="s">
        <v>683</v>
      </c>
      <c r="R82" s="17" t="s">
        <v>1275</v>
      </c>
      <c r="U82" s="18" t="s">
        <v>711</v>
      </c>
      <c r="V82" s="18" t="s">
        <v>711</v>
      </c>
      <c r="W82" s="18" t="s">
        <v>712</v>
      </c>
      <c r="X82" s="18" t="b">
        <v>0</v>
      </c>
      <c r="Y82" s="18" t="s">
        <v>711</v>
      </c>
      <c r="Z82" s="18" t="s">
        <v>711</v>
      </c>
      <c r="AA82" s="18" t="s">
        <v>50</v>
      </c>
      <c r="AB82" s="18" t="s">
        <v>713</v>
      </c>
    </row>
    <row r="83" spans="1:28" s="17" customFormat="1" ht="12" customHeight="1">
      <c r="A83" s="17">
        <v>82</v>
      </c>
      <c r="B83" s="16" t="s">
        <v>1250</v>
      </c>
      <c r="C83" s="18" t="s">
        <v>717</v>
      </c>
      <c r="E83" s="18" t="s">
        <v>82</v>
      </c>
      <c r="F83" s="18" t="s">
        <v>42</v>
      </c>
      <c r="G83" s="18" t="s">
        <v>1241</v>
      </c>
      <c r="H83" s="18" t="s">
        <v>714</v>
      </c>
      <c r="I83" s="18" t="s">
        <v>715</v>
      </c>
      <c r="J83" s="18" t="s">
        <v>402</v>
      </c>
      <c r="K83" s="20">
        <v>45902</v>
      </c>
      <c r="L83" s="18" t="s">
        <v>716</v>
      </c>
      <c r="N83" s="18" t="s">
        <v>715</v>
      </c>
      <c r="O83" s="18" t="s">
        <v>718</v>
      </c>
      <c r="P83" s="18" t="s">
        <v>719</v>
      </c>
      <c r="Q83" s="18" t="s">
        <v>306</v>
      </c>
      <c r="R83" s="18" t="s">
        <v>718</v>
      </c>
      <c r="U83" s="18" t="s">
        <v>717</v>
      </c>
      <c r="V83" s="18" t="s">
        <v>717</v>
      </c>
      <c r="W83" s="18" t="s">
        <v>720</v>
      </c>
      <c r="X83" s="18" t="b">
        <v>1</v>
      </c>
      <c r="Y83" s="18" t="s">
        <v>717</v>
      </c>
      <c r="Z83" s="18" t="s">
        <v>717</v>
      </c>
      <c r="AA83" s="18" t="s">
        <v>708</v>
      </c>
      <c r="AB83" s="18" t="s">
        <v>721</v>
      </c>
    </row>
    <row r="84" spans="1:28" s="17" customFormat="1" ht="12" customHeight="1">
      <c r="A84" s="17">
        <v>83</v>
      </c>
      <c r="B84" s="16" t="s">
        <v>1250</v>
      </c>
      <c r="C84" s="18" t="s">
        <v>723</v>
      </c>
      <c r="E84" s="18" t="s">
        <v>82</v>
      </c>
      <c r="F84" s="18" t="s">
        <v>42</v>
      </c>
      <c r="G84" s="18" t="s">
        <v>1241</v>
      </c>
      <c r="H84" s="18" t="s">
        <v>714</v>
      </c>
      <c r="I84" s="18" t="s">
        <v>722</v>
      </c>
      <c r="J84" s="18" t="s">
        <v>402</v>
      </c>
      <c r="K84" s="20">
        <v>45840</v>
      </c>
      <c r="L84" s="18" t="s">
        <v>716</v>
      </c>
      <c r="N84" s="18" t="s">
        <v>722</v>
      </c>
      <c r="O84" s="18" t="s">
        <v>724</v>
      </c>
      <c r="P84" s="18" t="s">
        <v>725</v>
      </c>
      <c r="Q84" s="18" t="s">
        <v>608</v>
      </c>
      <c r="R84" s="18" t="s">
        <v>724</v>
      </c>
      <c r="U84" s="18" t="s">
        <v>723</v>
      </c>
      <c r="V84" s="18" t="s">
        <v>723</v>
      </c>
      <c r="W84" s="18" t="s">
        <v>726</v>
      </c>
      <c r="X84" s="18" t="b">
        <v>1</v>
      </c>
      <c r="Y84" s="18" t="s">
        <v>723</v>
      </c>
      <c r="Z84" s="18" t="s">
        <v>723</v>
      </c>
      <c r="AA84" s="18" t="s">
        <v>708</v>
      </c>
      <c r="AB84" s="18" t="s">
        <v>727</v>
      </c>
    </row>
    <row r="85" spans="1:28" s="17" customFormat="1" ht="12" customHeight="1">
      <c r="A85" s="17">
        <v>84</v>
      </c>
      <c r="B85" s="16" t="s">
        <v>1250</v>
      </c>
      <c r="C85" s="18" t="s">
        <v>732</v>
      </c>
      <c r="E85" s="18" t="s">
        <v>728</v>
      </c>
      <c r="F85" s="18" t="s">
        <v>42</v>
      </c>
      <c r="G85" s="18" t="s">
        <v>1241</v>
      </c>
      <c r="H85" s="18" t="s">
        <v>729</v>
      </c>
      <c r="I85" s="18" t="s">
        <v>730</v>
      </c>
      <c r="J85" s="18" t="s">
        <v>402</v>
      </c>
      <c r="K85" s="20">
        <v>45871</v>
      </c>
      <c r="L85" s="18" t="s">
        <v>731</v>
      </c>
      <c r="N85" s="18" t="s">
        <v>730</v>
      </c>
      <c r="O85" s="18" t="s">
        <v>733</v>
      </c>
      <c r="Q85" s="18" t="s">
        <v>306</v>
      </c>
      <c r="R85" s="18" t="s">
        <v>733</v>
      </c>
      <c r="U85" s="18" t="s">
        <v>732</v>
      </c>
      <c r="V85" s="18" t="s">
        <v>732</v>
      </c>
      <c r="W85" s="18" t="s">
        <v>734</v>
      </c>
      <c r="X85" s="18" t="b">
        <v>1</v>
      </c>
      <c r="Y85" s="18" t="s">
        <v>732</v>
      </c>
      <c r="Z85" s="18" t="s">
        <v>732</v>
      </c>
      <c r="AA85" s="18" t="s">
        <v>50</v>
      </c>
      <c r="AB85" s="18" t="s">
        <v>735</v>
      </c>
    </row>
    <row r="86" spans="1:28" s="17" customFormat="1" ht="12" customHeight="1">
      <c r="A86" s="17">
        <v>85</v>
      </c>
      <c r="B86" s="16" t="s">
        <v>1250</v>
      </c>
      <c r="C86" s="18" t="s">
        <v>739</v>
      </c>
      <c r="E86" s="18" t="s">
        <v>728</v>
      </c>
      <c r="F86" s="18" t="s">
        <v>42</v>
      </c>
      <c r="G86" s="18" t="s">
        <v>1241</v>
      </c>
      <c r="H86" s="18" t="s">
        <v>736</v>
      </c>
      <c r="I86" s="18" t="s">
        <v>737</v>
      </c>
      <c r="J86" s="18" t="s">
        <v>402</v>
      </c>
      <c r="K86" s="20">
        <v>45810</v>
      </c>
      <c r="L86" s="18" t="s">
        <v>738</v>
      </c>
      <c r="N86" s="18" t="s">
        <v>737</v>
      </c>
      <c r="O86" s="18" t="s">
        <v>740</v>
      </c>
      <c r="Q86" s="18" t="s">
        <v>492</v>
      </c>
      <c r="R86" s="18" t="s">
        <v>740</v>
      </c>
      <c r="U86" s="18" t="s">
        <v>739</v>
      </c>
      <c r="V86" s="18" t="s">
        <v>739</v>
      </c>
      <c r="W86" s="18" t="s">
        <v>741</v>
      </c>
      <c r="X86" s="18" t="b">
        <v>1</v>
      </c>
      <c r="Y86" s="18" t="s">
        <v>739</v>
      </c>
      <c r="Z86" s="18" t="s">
        <v>739</v>
      </c>
      <c r="AA86" s="18" t="s">
        <v>742</v>
      </c>
      <c r="AB86" s="18" t="s">
        <v>743</v>
      </c>
    </row>
    <row r="87" spans="1:28" s="17" customFormat="1" ht="12" customHeight="1">
      <c r="A87" s="17">
        <v>86</v>
      </c>
      <c r="B87" s="16" t="s">
        <v>1250</v>
      </c>
      <c r="C87" s="18" t="s">
        <v>745</v>
      </c>
      <c r="E87" s="18" t="s">
        <v>728</v>
      </c>
      <c r="F87" s="18" t="s">
        <v>42</v>
      </c>
      <c r="G87" s="18" t="s">
        <v>1241</v>
      </c>
      <c r="H87" s="18" t="s">
        <v>736</v>
      </c>
      <c r="I87" s="18" t="s">
        <v>744</v>
      </c>
      <c r="J87" s="18" t="s">
        <v>402</v>
      </c>
      <c r="K87" s="20">
        <v>45779</v>
      </c>
      <c r="L87" s="18" t="s">
        <v>738</v>
      </c>
      <c r="N87" s="18" t="s">
        <v>744</v>
      </c>
      <c r="O87" s="18" t="s">
        <v>746</v>
      </c>
      <c r="Q87" s="18" t="s">
        <v>545</v>
      </c>
      <c r="R87" s="18" t="s">
        <v>746</v>
      </c>
      <c r="U87" s="18" t="s">
        <v>745</v>
      </c>
      <c r="V87" s="18" t="s">
        <v>745</v>
      </c>
      <c r="W87" s="18" t="s">
        <v>747</v>
      </c>
      <c r="X87" s="18" t="b">
        <v>1</v>
      </c>
      <c r="Y87" s="18" t="s">
        <v>745</v>
      </c>
      <c r="Z87" s="18" t="s">
        <v>745</v>
      </c>
      <c r="AA87" s="18" t="s">
        <v>742</v>
      </c>
      <c r="AB87" s="18" t="s">
        <v>748</v>
      </c>
    </row>
    <row r="88" spans="1:28" s="17" customFormat="1" ht="12" customHeight="1">
      <c r="A88" s="17">
        <v>87</v>
      </c>
      <c r="B88" s="16" t="s">
        <v>1250</v>
      </c>
      <c r="C88" s="18" t="s">
        <v>752</v>
      </c>
      <c r="E88" s="18" t="s">
        <v>749</v>
      </c>
      <c r="F88" s="18" t="s">
        <v>42</v>
      </c>
      <c r="G88" s="18" t="s">
        <v>1241</v>
      </c>
      <c r="H88" s="18" t="s">
        <v>736</v>
      </c>
      <c r="I88" s="18" t="s">
        <v>750</v>
      </c>
      <c r="J88" s="18" t="s">
        <v>402</v>
      </c>
      <c r="K88" s="20">
        <v>45840</v>
      </c>
      <c r="L88" s="18" t="s">
        <v>751</v>
      </c>
      <c r="N88" s="18" t="s">
        <v>750</v>
      </c>
      <c r="O88" s="18" t="s">
        <v>753</v>
      </c>
      <c r="Q88" s="18" t="s">
        <v>754</v>
      </c>
      <c r="R88" s="18" t="s">
        <v>753</v>
      </c>
      <c r="U88" s="18" t="s">
        <v>752</v>
      </c>
      <c r="V88" s="18" t="s">
        <v>752</v>
      </c>
      <c r="W88" s="18" t="s">
        <v>755</v>
      </c>
      <c r="X88" s="18" t="b">
        <v>1</v>
      </c>
      <c r="Y88" s="18" t="s">
        <v>752</v>
      </c>
      <c r="Z88" s="18" t="s">
        <v>752</v>
      </c>
      <c r="AA88" s="18" t="s">
        <v>742</v>
      </c>
      <c r="AB88" s="18" t="s">
        <v>756</v>
      </c>
    </row>
    <row r="89" spans="1:28" s="17" customFormat="1" ht="12" customHeight="1">
      <c r="A89" s="17">
        <v>88</v>
      </c>
      <c r="B89" s="16" t="s">
        <v>1250</v>
      </c>
      <c r="C89" s="18" t="s">
        <v>761</v>
      </c>
      <c r="E89" s="18" t="s">
        <v>757</v>
      </c>
      <c r="F89" s="18" t="s">
        <v>42</v>
      </c>
      <c r="G89" s="18" t="s">
        <v>1247</v>
      </c>
      <c r="H89" s="18" t="s">
        <v>758</v>
      </c>
      <c r="I89" s="18" t="s">
        <v>759</v>
      </c>
      <c r="J89" s="18" t="s">
        <v>271</v>
      </c>
      <c r="K89" s="20">
        <v>45902</v>
      </c>
      <c r="L89" s="18" t="s">
        <v>760</v>
      </c>
      <c r="N89" s="18" t="s">
        <v>759</v>
      </c>
      <c r="O89" s="18" t="s">
        <v>762</v>
      </c>
      <c r="P89" s="18" t="s">
        <v>763</v>
      </c>
      <c r="Q89" s="18" t="s">
        <v>764</v>
      </c>
      <c r="R89" s="18" t="s">
        <v>762</v>
      </c>
      <c r="U89" s="18" t="s">
        <v>761</v>
      </c>
      <c r="V89" s="18" t="s">
        <v>761</v>
      </c>
      <c r="W89" s="18" t="s">
        <v>765</v>
      </c>
      <c r="X89" s="18" t="b">
        <v>1</v>
      </c>
      <c r="Y89" s="18" t="s">
        <v>761</v>
      </c>
      <c r="Z89" s="18" t="s">
        <v>761</v>
      </c>
      <c r="AA89" s="18" t="s">
        <v>766</v>
      </c>
      <c r="AB89" s="18" t="s">
        <v>767</v>
      </c>
    </row>
    <row r="90" spans="1:28" s="17" customFormat="1" ht="12" customHeight="1">
      <c r="A90" s="17">
        <v>89</v>
      </c>
      <c r="B90" s="16" t="s">
        <v>1250</v>
      </c>
      <c r="C90" s="18" t="s">
        <v>770</v>
      </c>
      <c r="F90" s="18" t="s">
        <v>639</v>
      </c>
      <c r="G90" s="18" t="s">
        <v>1247</v>
      </c>
      <c r="H90" s="18" t="s">
        <v>758</v>
      </c>
      <c r="I90" s="18" t="s">
        <v>768</v>
      </c>
      <c r="J90" s="18" t="s">
        <v>271</v>
      </c>
      <c r="K90" s="20">
        <v>45902</v>
      </c>
      <c r="L90" s="18" t="s">
        <v>769</v>
      </c>
      <c r="N90" s="18" t="s">
        <v>768</v>
      </c>
      <c r="O90" s="18"/>
      <c r="Q90" s="18" t="s">
        <v>772</v>
      </c>
      <c r="R90" s="18" t="s">
        <v>771</v>
      </c>
      <c r="U90" s="18" t="s">
        <v>770</v>
      </c>
      <c r="V90" s="18" t="s">
        <v>773</v>
      </c>
      <c r="W90" s="18" t="s">
        <v>774</v>
      </c>
      <c r="X90" s="18" t="b">
        <v>1</v>
      </c>
      <c r="Y90" s="18" t="s">
        <v>770</v>
      </c>
      <c r="Z90" s="18" t="s">
        <v>770</v>
      </c>
      <c r="AA90" s="18" t="s">
        <v>766</v>
      </c>
      <c r="AB90" s="18" t="s">
        <v>775</v>
      </c>
    </row>
    <row r="91" spans="1:28" s="17" customFormat="1" ht="12" customHeight="1">
      <c r="A91" s="17">
        <v>90</v>
      </c>
      <c r="B91" s="16" t="s">
        <v>1250</v>
      </c>
      <c r="C91" s="18" t="s">
        <v>776</v>
      </c>
      <c r="F91" s="18" t="s">
        <v>42</v>
      </c>
      <c r="G91" s="18" t="s">
        <v>1247</v>
      </c>
      <c r="H91" s="18" t="s">
        <v>758</v>
      </c>
      <c r="I91" s="18" t="s">
        <v>1243</v>
      </c>
      <c r="J91" s="18" t="s">
        <v>402</v>
      </c>
      <c r="L91" s="18" t="s">
        <v>683</v>
      </c>
      <c r="O91" s="18"/>
      <c r="R91" s="18" t="s">
        <v>1274</v>
      </c>
      <c r="U91" s="18" t="s">
        <v>776</v>
      </c>
      <c r="V91" s="18" t="s">
        <v>776</v>
      </c>
      <c r="W91" s="18" t="s">
        <v>777</v>
      </c>
      <c r="X91" s="18" t="b">
        <v>0</v>
      </c>
      <c r="Y91" s="18" t="s">
        <v>776</v>
      </c>
      <c r="Z91" s="18" t="s">
        <v>776</v>
      </c>
      <c r="AA91" s="18" t="s">
        <v>766</v>
      </c>
      <c r="AB91" s="18" t="s">
        <v>778</v>
      </c>
    </row>
    <row r="92" spans="1:28" s="17" customFormat="1" ht="12" customHeight="1">
      <c r="A92" s="17">
        <v>91</v>
      </c>
      <c r="B92" s="16" t="s">
        <v>1250</v>
      </c>
      <c r="C92" s="18" t="s">
        <v>779</v>
      </c>
      <c r="F92" s="18" t="s">
        <v>42</v>
      </c>
      <c r="G92" s="18" t="s">
        <v>1247</v>
      </c>
      <c r="H92" s="18" t="s">
        <v>758</v>
      </c>
      <c r="I92" s="18" t="s">
        <v>1243</v>
      </c>
      <c r="J92" s="18" t="s">
        <v>402</v>
      </c>
      <c r="L92" s="18" t="s">
        <v>683</v>
      </c>
      <c r="O92" s="18"/>
      <c r="R92" s="18" t="s">
        <v>1273</v>
      </c>
      <c r="U92" s="18" t="s">
        <v>779</v>
      </c>
      <c r="V92" s="18" t="s">
        <v>779</v>
      </c>
      <c r="W92" s="18" t="s">
        <v>780</v>
      </c>
      <c r="X92" s="18" t="b">
        <v>0</v>
      </c>
      <c r="Y92" s="18" t="s">
        <v>779</v>
      </c>
      <c r="Z92" s="18" t="s">
        <v>779</v>
      </c>
      <c r="AA92" s="18" t="s">
        <v>766</v>
      </c>
      <c r="AB92" s="18" t="s">
        <v>781</v>
      </c>
    </row>
    <row r="93" spans="1:28" s="17" customFormat="1" ht="12" customHeight="1">
      <c r="A93" s="17">
        <v>92</v>
      </c>
      <c r="B93" s="16" t="s">
        <v>1250</v>
      </c>
      <c r="C93" s="18" t="s">
        <v>783</v>
      </c>
      <c r="F93" s="18" t="s">
        <v>42</v>
      </c>
      <c r="G93" s="18" t="s">
        <v>782</v>
      </c>
      <c r="H93" s="18" t="s">
        <v>782</v>
      </c>
      <c r="I93" s="18" t="s">
        <v>1243</v>
      </c>
      <c r="J93" s="18" t="s">
        <v>402</v>
      </c>
      <c r="L93" s="18" t="s">
        <v>683</v>
      </c>
      <c r="O93" s="16" t="s">
        <v>1272</v>
      </c>
      <c r="U93" s="18" t="s">
        <v>783</v>
      </c>
      <c r="V93" s="18" t="s">
        <v>783</v>
      </c>
      <c r="W93" s="18" t="s">
        <v>784</v>
      </c>
      <c r="X93" s="18" t="b">
        <v>0</v>
      </c>
      <c r="Y93" s="18" t="s">
        <v>783</v>
      </c>
      <c r="Z93" s="18" t="s">
        <v>783</v>
      </c>
      <c r="AA93" s="18" t="s">
        <v>785</v>
      </c>
      <c r="AB93" s="18" t="s">
        <v>786</v>
      </c>
    </row>
    <row r="94" spans="1:28" s="17" customFormat="1" ht="12" customHeight="1">
      <c r="A94" s="17">
        <v>93</v>
      </c>
      <c r="B94" s="16" t="s">
        <v>1250</v>
      </c>
      <c r="C94" s="18" t="s">
        <v>792</v>
      </c>
      <c r="D94" s="18" t="s">
        <v>787</v>
      </c>
      <c r="E94" s="18" t="s">
        <v>788</v>
      </c>
      <c r="F94" s="18" t="s">
        <v>92</v>
      </c>
      <c r="G94" s="18" t="s">
        <v>789</v>
      </c>
      <c r="H94" s="18" t="s">
        <v>789</v>
      </c>
      <c r="I94" s="18" t="s">
        <v>790</v>
      </c>
      <c r="J94" s="18" t="s">
        <v>271</v>
      </c>
      <c r="K94" s="20">
        <v>45749</v>
      </c>
      <c r="L94" s="18" t="s">
        <v>791</v>
      </c>
      <c r="N94" s="18" t="s">
        <v>790</v>
      </c>
      <c r="O94" s="18" t="s">
        <v>793</v>
      </c>
      <c r="P94" s="18" t="s">
        <v>794</v>
      </c>
      <c r="Q94" s="18" t="s">
        <v>407</v>
      </c>
      <c r="R94" s="18" t="s">
        <v>793</v>
      </c>
      <c r="U94" s="18" t="s">
        <v>792</v>
      </c>
      <c r="V94" s="18" t="s">
        <v>795</v>
      </c>
      <c r="W94" s="18" t="s">
        <v>796</v>
      </c>
      <c r="X94" s="18" t="b">
        <v>1</v>
      </c>
      <c r="Y94" s="18" t="s">
        <v>797</v>
      </c>
      <c r="Z94" s="18" t="s">
        <v>797</v>
      </c>
      <c r="AA94" s="18" t="s">
        <v>798</v>
      </c>
      <c r="AB94" s="18" t="s">
        <v>799</v>
      </c>
    </row>
    <row r="95" spans="1:28" s="17" customFormat="1" ht="12" customHeight="1">
      <c r="A95" s="17">
        <v>94</v>
      </c>
      <c r="B95" s="16" t="s">
        <v>1250</v>
      </c>
      <c r="C95" s="18" t="s">
        <v>805</v>
      </c>
      <c r="D95" s="18" t="s">
        <v>800</v>
      </c>
      <c r="E95" s="18" t="s">
        <v>801</v>
      </c>
      <c r="F95" s="18" t="s">
        <v>28</v>
      </c>
      <c r="G95" s="18" t="s">
        <v>1248</v>
      </c>
      <c r="H95" s="18" t="s">
        <v>802</v>
      </c>
      <c r="I95" s="18" t="s">
        <v>803</v>
      </c>
      <c r="J95" s="18" t="s">
        <v>271</v>
      </c>
      <c r="K95" s="18" t="s">
        <v>354</v>
      </c>
      <c r="L95" s="18" t="s">
        <v>804</v>
      </c>
      <c r="N95" s="18" t="s">
        <v>803</v>
      </c>
      <c r="O95" s="18" t="s">
        <v>806</v>
      </c>
      <c r="P95" s="18" t="s">
        <v>807</v>
      </c>
      <c r="Q95" s="18" t="s">
        <v>407</v>
      </c>
      <c r="R95" s="18" t="s">
        <v>806</v>
      </c>
      <c r="U95" s="18" t="s">
        <v>805</v>
      </c>
      <c r="V95" s="18" t="s">
        <v>805</v>
      </c>
      <c r="W95" s="18" t="s">
        <v>808</v>
      </c>
      <c r="X95" s="18" t="b">
        <v>1</v>
      </c>
      <c r="Y95" s="18" t="s">
        <v>800</v>
      </c>
      <c r="Z95" s="18" t="s">
        <v>805</v>
      </c>
      <c r="AA95" s="18" t="s">
        <v>798</v>
      </c>
      <c r="AB95" s="18" t="s">
        <v>809</v>
      </c>
    </row>
    <row r="96" spans="1:28" s="17" customFormat="1" ht="12" customHeight="1">
      <c r="A96" s="17">
        <v>95</v>
      </c>
      <c r="B96" s="16" t="s">
        <v>1250</v>
      </c>
      <c r="C96" s="18" t="s">
        <v>814</v>
      </c>
      <c r="E96" s="18" t="s">
        <v>810</v>
      </c>
      <c r="F96" s="18" t="s">
        <v>42</v>
      </c>
      <c r="G96" s="18" t="s">
        <v>811</v>
      </c>
      <c r="H96" s="18" t="s">
        <v>811</v>
      </c>
      <c r="I96" s="18" t="s">
        <v>812</v>
      </c>
      <c r="J96" s="18" t="s">
        <v>271</v>
      </c>
      <c r="K96" s="20">
        <v>45810</v>
      </c>
      <c r="L96" s="18" t="s">
        <v>813</v>
      </c>
      <c r="N96" s="18" t="s">
        <v>812</v>
      </c>
      <c r="O96" s="18" t="s">
        <v>815</v>
      </c>
      <c r="P96" s="18" t="s">
        <v>816</v>
      </c>
      <c r="Q96" s="18" t="s">
        <v>817</v>
      </c>
      <c r="R96" s="18" t="s">
        <v>815</v>
      </c>
      <c r="U96" s="18" t="s">
        <v>814</v>
      </c>
      <c r="V96" s="18" t="s">
        <v>818</v>
      </c>
      <c r="W96" s="18" t="s">
        <v>819</v>
      </c>
      <c r="X96" s="18" t="b">
        <v>1</v>
      </c>
      <c r="Y96" s="18" t="s">
        <v>814</v>
      </c>
      <c r="Z96" s="18" t="s">
        <v>1015</v>
      </c>
      <c r="AA96" s="18" t="s">
        <v>798</v>
      </c>
      <c r="AB96" s="18" t="s">
        <v>820</v>
      </c>
    </row>
    <row r="97" spans="1:28" s="17" customFormat="1" ht="12" customHeight="1">
      <c r="A97" s="17">
        <v>96</v>
      </c>
      <c r="B97" s="16" t="s">
        <v>1250</v>
      </c>
      <c r="C97" s="18" t="s">
        <v>1013</v>
      </c>
      <c r="D97" s="18" t="s">
        <v>821</v>
      </c>
      <c r="E97" s="18" t="s">
        <v>822</v>
      </c>
      <c r="F97" s="18" t="s">
        <v>42</v>
      </c>
      <c r="G97" s="18" t="s">
        <v>823</v>
      </c>
      <c r="H97" s="18" t="s">
        <v>823</v>
      </c>
      <c r="I97" s="18" t="s">
        <v>824</v>
      </c>
      <c r="J97" s="18" t="s">
        <v>402</v>
      </c>
      <c r="K97" s="20">
        <v>45691</v>
      </c>
      <c r="L97" s="18" t="s">
        <v>1174</v>
      </c>
      <c r="N97" s="18" t="s">
        <v>824</v>
      </c>
      <c r="O97" s="18" t="s">
        <v>826</v>
      </c>
      <c r="Q97" s="18" t="s">
        <v>827</v>
      </c>
      <c r="R97" s="18" t="s">
        <v>826</v>
      </c>
      <c r="S97" s="18" t="s">
        <v>828</v>
      </c>
      <c r="T97" s="18" t="s">
        <v>829</v>
      </c>
      <c r="U97" s="18" t="s">
        <v>825</v>
      </c>
      <c r="V97" s="18" t="s">
        <v>830</v>
      </c>
      <c r="W97" s="18" t="s">
        <v>831</v>
      </c>
      <c r="X97" s="18" t="b">
        <v>1</v>
      </c>
      <c r="Y97" s="18" t="s">
        <v>821</v>
      </c>
      <c r="Z97" s="18" t="s">
        <v>1013</v>
      </c>
      <c r="AA97" s="18" t="s">
        <v>798</v>
      </c>
      <c r="AB97" s="18" t="s">
        <v>832</v>
      </c>
    </row>
    <row r="98" spans="1:28" s="17" customFormat="1" ht="12" customHeight="1">
      <c r="A98" s="17">
        <v>97</v>
      </c>
      <c r="B98" s="16" t="s">
        <v>1250</v>
      </c>
      <c r="C98" s="18" t="s">
        <v>836</v>
      </c>
      <c r="E98" s="18" t="s">
        <v>668</v>
      </c>
      <c r="F98" s="18" t="s">
        <v>429</v>
      </c>
      <c r="G98" s="18" t="s">
        <v>1115</v>
      </c>
      <c r="H98" s="18" t="s">
        <v>833</v>
      </c>
      <c r="I98" s="18" t="s">
        <v>834</v>
      </c>
      <c r="J98" s="18" t="s">
        <v>271</v>
      </c>
      <c r="K98" s="20">
        <v>45901</v>
      </c>
      <c r="L98" s="18" t="s">
        <v>835</v>
      </c>
      <c r="N98" s="18" t="s">
        <v>834</v>
      </c>
      <c r="O98" s="18" t="s">
        <v>837</v>
      </c>
      <c r="P98" s="18" t="s">
        <v>838</v>
      </c>
      <c r="Q98" s="18" t="s">
        <v>839</v>
      </c>
      <c r="R98" s="18" t="s">
        <v>837</v>
      </c>
      <c r="U98" s="18" t="s">
        <v>836</v>
      </c>
      <c r="V98" s="18" t="s">
        <v>836</v>
      </c>
      <c r="W98" s="18" t="s">
        <v>840</v>
      </c>
      <c r="X98" s="18" t="b">
        <v>1</v>
      </c>
      <c r="Y98" s="18" t="s">
        <v>836</v>
      </c>
      <c r="Z98" s="18" t="s">
        <v>836</v>
      </c>
      <c r="AA98" s="18" t="s">
        <v>841</v>
      </c>
      <c r="AB98" s="18" t="s">
        <v>842</v>
      </c>
    </row>
    <row r="99" spans="1:28" s="17" customFormat="1" ht="12" customHeight="1">
      <c r="A99" s="17">
        <v>98</v>
      </c>
      <c r="B99" s="16" t="s">
        <v>1250</v>
      </c>
      <c r="C99" s="18" t="s">
        <v>844</v>
      </c>
      <c r="F99" s="18" t="s">
        <v>1252</v>
      </c>
      <c r="G99" s="18" t="s">
        <v>1115</v>
      </c>
      <c r="H99" s="18" t="s">
        <v>833</v>
      </c>
      <c r="I99" s="18" t="s">
        <v>843</v>
      </c>
      <c r="J99" s="18" t="s">
        <v>271</v>
      </c>
      <c r="K99" s="18" t="s">
        <v>354</v>
      </c>
      <c r="L99" s="18" t="s">
        <v>671</v>
      </c>
      <c r="N99" s="18" t="s">
        <v>843</v>
      </c>
      <c r="O99" s="18" t="s">
        <v>845</v>
      </c>
      <c r="P99" s="18" t="s">
        <v>674</v>
      </c>
      <c r="Q99" s="18" t="s">
        <v>566</v>
      </c>
      <c r="R99" s="18" t="s">
        <v>845</v>
      </c>
      <c r="U99" s="18" t="s">
        <v>844</v>
      </c>
      <c r="V99" s="18" t="s">
        <v>844</v>
      </c>
      <c r="W99" s="18" t="s">
        <v>846</v>
      </c>
      <c r="X99" s="18" t="b">
        <v>1</v>
      </c>
      <c r="Y99" s="18" t="s">
        <v>844</v>
      </c>
      <c r="Z99" s="18" t="s">
        <v>844</v>
      </c>
      <c r="AA99" s="18" t="s">
        <v>841</v>
      </c>
      <c r="AB99" s="18" t="s">
        <v>847</v>
      </c>
    </row>
    <row r="100" spans="1:28" s="17" customFormat="1" ht="12" customHeight="1">
      <c r="A100" s="17">
        <v>99</v>
      </c>
      <c r="B100" s="16" t="s">
        <v>1250</v>
      </c>
      <c r="C100" s="18" t="s">
        <v>851</v>
      </c>
      <c r="D100" s="18" t="s">
        <v>848</v>
      </c>
      <c r="E100" s="18" t="s">
        <v>341</v>
      </c>
      <c r="F100" s="18" t="s">
        <v>92</v>
      </c>
      <c r="G100" s="18" t="s">
        <v>1115</v>
      </c>
      <c r="H100" s="18" t="s">
        <v>833</v>
      </c>
      <c r="I100" s="18" t="s">
        <v>849</v>
      </c>
      <c r="J100" s="18" t="s">
        <v>271</v>
      </c>
      <c r="K100" s="20">
        <v>45779</v>
      </c>
      <c r="L100" s="18" t="s">
        <v>850</v>
      </c>
      <c r="N100" s="18" t="s">
        <v>849</v>
      </c>
      <c r="O100" s="18" t="s">
        <v>852</v>
      </c>
      <c r="P100" s="18" t="s">
        <v>853</v>
      </c>
      <c r="Q100" s="18" t="s">
        <v>854</v>
      </c>
      <c r="R100" s="18" t="s">
        <v>852</v>
      </c>
      <c r="U100" s="18" t="s">
        <v>851</v>
      </c>
      <c r="V100" s="18" t="s">
        <v>855</v>
      </c>
      <c r="W100" s="18" t="s">
        <v>856</v>
      </c>
      <c r="X100" s="18" t="b">
        <v>1</v>
      </c>
      <c r="Y100" s="18" t="s">
        <v>848</v>
      </c>
      <c r="Z100" s="18" t="s">
        <v>848</v>
      </c>
      <c r="AA100" s="18" t="s">
        <v>841</v>
      </c>
      <c r="AB100" s="18" t="s">
        <v>857</v>
      </c>
    </row>
    <row r="101" spans="1:28" s="17" customFormat="1" ht="12" customHeight="1">
      <c r="A101" s="17">
        <v>100</v>
      </c>
      <c r="B101" s="16" t="s">
        <v>1250</v>
      </c>
      <c r="C101" s="18" t="s">
        <v>862</v>
      </c>
      <c r="E101" s="18" t="s">
        <v>858</v>
      </c>
      <c r="F101" s="18" t="s">
        <v>92</v>
      </c>
      <c r="G101" s="18" t="s">
        <v>1246</v>
      </c>
      <c r="H101" s="18" t="s">
        <v>859</v>
      </c>
      <c r="I101" s="18" t="s">
        <v>860</v>
      </c>
      <c r="J101" s="18" t="s">
        <v>271</v>
      </c>
      <c r="K101" s="20">
        <v>45749</v>
      </c>
      <c r="L101" s="18" t="s">
        <v>861</v>
      </c>
      <c r="N101" s="18" t="s">
        <v>860</v>
      </c>
      <c r="O101" s="18" t="s">
        <v>863</v>
      </c>
      <c r="P101" s="18" t="s">
        <v>864</v>
      </c>
      <c r="Q101" s="18" t="s">
        <v>104</v>
      </c>
      <c r="R101" s="18" t="s">
        <v>863</v>
      </c>
      <c r="U101" s="18" t="s">
        <v>862</v>
      </c>
      <c r="V101" s="18" t="s">
        <v>862</v>
      </c>
      <c r="W101" s="18" t="s">
        <v>865</v>
      </c>
      <c r="X101" s="18" t="b">
        <v>1</v>
      </c>
      <c r="Y101" s="18" t="s">
        <v>862</v>
      </c>
      <c r="Z101" s="18" t="s">
        <v>862</v>
      </c>
      <c r="AA101" s="18" t="s">
        <v>841</v>
      </c>
      <c r="AB101" s="18" t="s">
        <v>866</v>
      </c>
    </row>
    <row r="102" spans="1:28" s="17" customFormat="1" ht="12" customHeight="1">
      <c r="A102" s="17">
        <v>101</v>
      </c>
      <c r="B102" s="16" t="s">
        <v>1250</v>
      </c>
      <c r="C102" s="18" t="s">
        <v>870</v>
      </c>
      <c r="E102" s="18" t="s">
        <v>867</v>
      </c>
      <c r="F102" s="18" t="s">
        <v>28</v>
      </c>
      <c r="G102" s="18" t="s">
        <v>1246</v>
      </c>
      <c r="H102" s="18" t="s">
        <v>859</v>
      </c>
      <c r="I102" s="18" t="s">
        <v>868</v>
      </c>
      <c r="J102" s="18" t="s">
        <v>271</v>
      </c>
      <c r="K102" s="20">
        <v>45778</v>
      </c>
      <c r="L102" s="18" t="s">
        <v>869</v>
      </c>
      <c r="N102" s="18" t="s">
        <v>868</v>
      </c>
      <c r="O102" s="18" t="s">
        <v>871</v>
      </c>
      <c r="P102" s="18" t="s">
        <v>872</v>
      </c>
      <c r="Q102" s="18" t="s">
        <v>873</v>
      </c>
      <c r="R102" s="18" t="s">
        <v>871</v>
      </c>
      <c r="U102" s="18" t="s">
        <v>870</v>
      </c>
      <c r="V102" s="18" t="s">
        <v>870</v>
      </c>
      <c r="W102" s="18" t="s">
        <v>874</v>
      </c>
      <c r="X102" s="18" t="b">
        <v>1</v>
      </c>
      <c r="Y102" s="18" t="s">
        <v>870</v>
      </c>
      <c r="Z102" s="18" t="s">
        <v>870</v>
      </c>
      <c r="AA102" s="18" t="s">
        <v>841</v>
      </c>
      <c r="AB102" s="18" t="s">
        <v>875</v>
      </c>
    </row>
    <row r="103" spans="1:28" s="12" customFormat="1" ht="12" customHeight="1">
      <c r="A103" s="17">
        <v>102</v>
      </c>
      <c r="B103" s="13" t="s">
        <v>1276</v>
      </c>
      <c r="C103" s="14" t="s">
        <v>876</v>
      </c>
      <c r="E103" s="14" t="s">
        <v>877</v>
      </c>
      <c r="F103" s="14" t="s">
        <v>42</v>
      </c>
      <c r="G103" s="14"/>
      <c r="H103" s="14" t="s">
        <v>29</v>
      </c>
      <c r="L103" s="15" t="s">
        <v>878</v>
      </c>
      <c r="M103" s="14" t="s">
        <v>879</v>
      </c>
      <c r="R103" s="14" t="s">
        <v>879</v>
      </c>
      <c r="U103" s="14" t="s">
        <v>876</v>
      </c>
      <c r="V103" s="14" t="s">
        <v>876</v>
      </c>
      <c r="W103" s="14" t="s">
        <v>880</v>
      </c>
      <c r="X103" s="14" t="s">
        <v>881</v>
      </c>
      <c r="Y103" s="14" t="s">
        <v>876</v>
      </c>
      <c r="AA103" s="14" t="s">
        <v>29</v>
      </c>
      <c r="AB103" s="14" t="s">
        <v>882</v>
      </c>
    </row>
    <row r="104" spans="1:28" s="12" customFormat="1" ht="12" customHeight="1">
      <c r="A104" s="17">
        <v>103</v>
      </c>
      <c r="B104" s="13" t="s">
        <v>1276</v>
      </c>
      <c r="C104" s="14" t="s">
        <v>883</v>
      </c>
      <c r="E104" s="14" t="s">
        <v>884</v>
      </c>
      <c r="F104" s="14" t="s">
        <v>42</v>
      </c>
      <c r="G104" s="14"/>
      <c r="H104" s="14" t="s">
        <v>29</v>
      </c>
      <c r="L104" s="15" t="s">
        <v>878</v>
      </c>
      <c r="M104" s="14" t="s">
        <v>885</v>
      </c>
      <c r="R104" s="14" t="s">
        <v>885</v>
      </c>
      <c r="U104" s="14" t="s">
        <v>883</v>
      </c>
      <c r="V104" s="14" t="s">
        <v>883</v>
      </c>
      <c r="W104" s="14" t="s">
        <v>886</v>
      </c>
      <c r="X104" s="14" t="s">
        <v>881</v>
      </c>
      <c r="Y104" s="14" t="s">
        <v>883</v>
      </c>
      <c r="AA104" s="14" t="s">
        <v>29</v>
      </c>
      <c r="AB104" s="14" t="s">
        <v>887</v>
      </c>
    </row>
    <row r="105" spans="1:28" s="12" customFormat="1" ht="12" customHeight="1">
      <c r="A105" s="17">
        <v>104</v>
      </c>
      <c r="B105" s="13" t="s">
        <v>1276</v>
      </c>
      <c r="C105" s="14" t="s">
        <v>888</v>
      </c>
      <c r="E105" s="14" t="s">
        <v>889</v>
      </c>
      <c r="F105" s="14" t="s">
        <v>42</v>
      </c>
      <c r="G105" s="14"/>
      <c r="H105" s="14" t="s">
        <v>29</v>
      </c>
      <c r="L105" s="15" t="s">
        <v>878</v>
      </c>
      <c r="M105" s="14" t="s">
        <v>890</v>
      </c>
      <c r="R105" s="14" t="s">
        <v>890</v>
      </c>
      <c r="U105" s="14" t="s">
        <v>888</v>
      </c>
      <c r="V105" s="14" t="s">
        <v>888</v>
      </c>
      <c r="W105" s="14" t="s">
        <v>891</v>
      </c>
      <c r="X105" s="14" t="s">
        <v>881</v>
      </c>
      <c r="Y105" s="14" t="s">
        <v>888</v>
      </c>
      <c r="AA105" s="14" t="s">
        <v>29</v>
      </c>
      <c r="AB105" s="14" t="s">
        <v>892</v>
      </c>
    </row>
    <row r="106" spans="1:28" s="12" customFormat="1" ht="12" customHeight="1">
      <c r="A106" s="17">
        <v>105</v>
      </c>
      <c r="B106" s="13" t="s">
        <v>1276</v>
      </c>
      <c r="C106" s="14" t="s">
        <v>893</v>
      </c>
      <c r="E106" s="14" t="s">
        <v>894</v>
      </c>
      <c r="F106" s="14" t="s">
        <v>42</v>
      </c>
      <c r="G106" s="14"/>
      <c r="H106" s="14" t="s">
        <v>29</v>
      </c>
      <c r="L106" s="15" t="s">
        <v>878</v>
      </c>
      <c r="M106" s="14" t="s">
        <v>895</v>
      </c>
      <c r="R106" s="14" t="s">
        <v>895</v>
      </c>
      <c r="U106" s="14" t="s">
        <v>893</v>
      </c>
      <c r="V106" s="14" t="s">
        <v>893</v>
      </c>
      <c r="W106" s="14" t="s">
        <v>896</v>
      </c>
      <c r="X106" s="14" t="s">
        <v>881</v>
      </c>
      <c r="Y106" s="14" t="s">
        <v>893</v>
      </c>
      <c r="AA106" s="14" t="s">
        <v>29</v>
      </c>
      <c r="AB106" s="14" t="s">
        <v>897</v>
      </c>
    </row>
    <row r="107" spans="1:28" s="12" customFormat="1" ht="12" customHeight="1">
      <c r="A107" s="17">
        <v>106</v>
      </c>
      <c r="B107" s="13" t="s">
        <v>1276</v>
      </c>
      <c r="C107" s="14" t="s">
        <v>898</v>
      </c>
      <c r="E107" s="14" t="s">
        <v>899</v>
      </c>
      <c r="F107" s="14" t="s">
        <v>42</v>
      </c>
      <c r="G107" s="14"/>
      <c r="H107" s="14" t="s">
        <v>29</v>
      </c>
      <c r="L107" s="15" t="s">
        <v>878</v>
      </c>
      <c r="M107" s="14" t="s">
        <v>900</v>
      </c>
      <c r="R107" s="14" t="s">
        <v>900</v>
      </c>
      <c r="U107" s="14" t="s">
        <v>898</v>
      </c>
      <c r="V107" s="14" t="s">
        <v>898</v>
      </c>
      <c r="W107" s="14" t="s">
        <v>901</v>
      </c>
      <c r="X107" s="14" t="s">
        <v>881</v>
      </c>
      <c r="Y107" s="14" t="s">
        <v>898</v>
      </c>
      <c r="AA107" s="14" t="s">
        <v>29</v>
      </c>
      <c r="AB107" s="14" t="s">
        <v>902</v>
      </c>
    </row>
    <row r="108" spans="1:28" s="12" customFormat="1" ht="12" customHeight="1">
      <c r="A108" s="17">
        <v>107</v>
      </c>
      <c r="B108" s="13" t="s">
        <v>1276</v>
      </c>
      <c r="C108" s="14" t="s">
        <v>903</v>
      </c>
      <c r="E108" s="14" t="s">
        <v>904</v>
      </c>
      <c r="F108" s="14" t="s">
        <v>42</v>
      </c>
      <c r="G108" s="14"/>
      <c r="H108" s="14" t="s">
        <v>29</v>
      </c>
      <c r="L108" s="15" t="s">
        <v>878</v>
      </c>
      <c r="M108" s="14" t="s">
        <v>905</v>
      </c>
      <c r="R108" s="14" t="s">
        <v>905</v>
      </c>
      <c r="U108" s="14" t="s">
        <v>903</v>
      </c>
      <c r="V108" s="14" t="s">
        <v>903</v>
      </c>
      <c r="W108" s="14" t="s">
        <v>906</v>
      </c>
      <c r="X108" s="14" t="s">
        <v>881</v>
      </c>
      <c r="Y108" s="14" t="s">
        <v>903</v>
      </c>
      <c r="AA108" s="14" t="s">
        <v>29</v>
      </c>
      <c r="AB108" s="14" t="s">
        <v>907</v>
      </c>
    </row>
    <row r="109" spans="1:28" s="12" customFormat="1" ht="12" customHeight="1">
      <c r="A109" s="17">
        <v>108</v>
      </c>
      <c r="B109" s="13" t="s">
        <v>1276</v>
      </c>
      <c r="C109" s="14" t="s">
        <v>908</v>
      </c>
      <c r="E109" s="14" t="s">
        <v>909</v>
      </c>
      <c r="F109" s="14" t="s">
        <v>42</v>
      </c>
      <c r="G109" s="14"/>
      <c r="H109" s="14" t="s">
        <v>29</v>
      </c>
      <c r="L109" s="15" t="s">
        <v>878</v>
      </c>
      <c r="M109" s="14" t="s">
        <v>910</v>
      </c>
      <c r="R109" s="14" t="s">
        <v>910</v>
      </c>
      <c r="U109" s="14" t="s">
        <v>908</v>
      </c>
      <c r="V109" s="14" t="s">
        <v>908</v>
      </c>
      <c r="W109" s="14" t="s">
        <v>911</v>
      </c>
      <c r="X109" s="14" t="s">
        <v>881</v>
      </c>
      <c r="Y109" s="14" t="s">
        <v>908</v>
      </c>
      <c r="AA109" s="14" t="s">
        <v>29</v>
      </c>
      <c r="AB109" s="14" t="s">
        <v>912</v>
      </c>
    </row>
    <row r="110" spans="1:28" s="12" customFormat="1" ht="12" customHeight="1">
      <c r="A110" s="17">
        <v>109</v>
      </c>
      <c r="B110" s="13" t="s">
        <v>1276</v>
      </c>
      <c r="C110" s="14" t="s">
        <v>913</v>
      </c>
      <c r="E110" s="14" t="s">
        <v>914</v>
      </c>
      <c r="F110" s="14" t="s">
        <v>42</v>
      </c>
      <c r="G110" s="14"/>
      <c r="H110" s="14" t="s">
        <v>29</v>
      </c>
      <c r="L110" s="15" t="s">
        <v>878</v>
      </c>
      <c r="M110" s="14" t="s">
        <v>915</v>
      </c>
      <c r="R110" s="14" t="s">
        <v>915</v>
      </c>
      <c r="U110" s="14" t="s">
        <v>913</v>
      </c>
      <c r="V110" s="14" t="s">
        <v>913</v>
      </c>
      <c r="W110" s="14" t="s">
        <v>916</v>
      </c>
      <c r="X110" s="14" t="s">
        <v>881</v>
      </c>
      <c r="Y110" s="14" t="s">
        <v>913</v>
      </c>
      <c r="AA110" s="14" t="s">
        <v>29</v>
      </c>
      <c r="AB110" s="14" t="s">
        <v>917</v>
      </c>
    </row>
    <row r="111" spans="1:28" s="12" customFormat="1" ht="12" customHeight="1">
      <c r="A111" s="17">
        <v>110</v>
      </c>
      <c r="B111" s="13" t="s">
        <v>1276</v>
      </c>
      <c r="C111" s="14" t="s">
        <v>918</v>
      </c>
      <c r="E111" s="14" t="s">
        <v>919</v>
      </c>
      <c r="F111" s="14" t="s">
        <v>42</v>
      </c>
      <c r="G111" s="14"/>
      <c r="H111" s="14" t="s">
        <v>29</v>
      </c>
      <c r="L111" s="15" t="s">
        <v>878</v>
      </c>
      <c r="M111" s="14" t="s">
        <v>920</v>
      </c>
      <c r="R111" s="14" t="s">
        <v>920</v>
      </c>
      <c r="U111" s="14" t="s">
        <v>918</v>
      </c>
      <c r="V111" s="14" t="s">
        <v>918</v>
      </c>
      <c r="W111" s="14" t="s">
        <v>921</v>
      </c>
      <c r="X111" s="14" t="s">
        <v>881</v>
      </c>
      <c r="Y111" s="14" t="s">
        <v>918</v>
      </c>
      <c r="AA111" s="14" t="s">
        <v>29</v>
      </c>
      <c r="AB111" s="14" t="s">
        <v>922</v>
      </c>
    </row>
    <row r="112" spans="1:28" s="12" customFormat="1" ht="12" customHeight="1">
      <c r="A112" s="17">
        <v>111</v>
      </c>
      <c r="B112" s="13" t="s">
        <v>1276</v>
      </c>
      <c r="C112" s="14" t="s">
        <v>923</v>
      </c>
      <c r="E112" s="14" t="s">
        <v>924</v>
      </c>
      <c r="F112" s="14" t="s">
        <v>42</v>
      </c>
      <c r="G112" s="14"/>
      <c r="H112" s="14" t="s">
        <v>29</v>
      </c>
      <c r="L112" s="15" t="s">
        <v>878</v>
      </c>
      <c r="M112" s="14" t="s">
        <v>925</v>
      </c>
      <c r="R112" s="14" t="s">
        <v>925</v>
      </c>
      <c r="U112" s="14" t="s">
        <v>923</v>
      </c>
      <c r="V112" s="14" t="s">
        <v>923</v>
      </c>
      <c r="W112" s="14" t="s">
        <v>926</v>
      </c>
      <c r="X112" s="14" t="s">
        <v>881</v>
      </c>
      <c r="Y112" s="14" t="s">
        <v>923</v>
      </c>
      <c r="AA112" s="14" t="s">
        <v>29</v>
      </c>
      <c r="AB112" s="14" t="s">
        <v>927</v>
      </c>
    </row>
    <row r="113" spans="1:28" s="12" customFormat="1" ht="12" customHeight="1">
      <c r="A113" s="17">
        <v>112</v>
      </c>
      <c r="B113" s="13" t="s">
        <v>1276</v>
      </c>
      <c r="C113" s="14" t="s">
        <v>928</v>
      </c>
      <c r="E113" s="14" t="s">
        <v>929</v>
      </c>
      <c r="F113" s="14" t="s">
        <v>42</v>
      </c>
      <c r="G113" s="14"/>
      <c r="H113" s="14" t="s">
        <v>29</v>
      </c>
      <c r="L113" s="15" t="s">
        <v>878</v>
      </c>
      <c r="M113" s="14" t="s">
        <v>930</v>
      </c>
      <c r="R113" s="14" t="s">
        <v>930</v>
      </c>
      <c r="U113" s="14" t="s">
        <v>928</v>
      </c>
      <c r="V113" s="14" t="s">
        <v>928</v>
      </c>
      <c r="W113" s="14" t="s">
        <v>931</v>
      </c>
      <c r="X113" s="14" t="s">
        <v>881</v>
      </c>
      <c r="Y113" s="14" t="s">
        <v>928</v>
      </c>
      <c r="AA113" s="14" t="s">
        <v>29</v>
      </c>
      <c r="AB113" s="14" t="s">
        <v>932</v>
      </c>
    </row>
    <row r="114" spans="1:28" s="12" customFormat="1" ht="12" customHeight="1">
      <c r="A114" s="17">
        <v>113</v>
      </c>
      <c r="B114" s="13" t="s">
        <v>1276</v>
      </c>
      <c r="C114" s="14" t="s">
        <v>933</v>
      </c>
      <c r="E114" s="14" t="s">
        <v>934</v>
      </c>
      <c r="F114" s="14" t="s">
        <v>42</v>
      </c>
      <c r="G114" s="14"/>
      <c r="H114" s="14" t="s">
        <v>29</v>
      </c>
      <c r="L114" s="15" t="s">
        <v>878</v>
      </c>
      <c r="M114" s="14" t="s">
        <v>935</v>
      </c>
      <c r="R114" s="14" t="s">
        <v>935</v>
      </c>
      <c r="U114" s="14" t="s">
        <v>933</v>
      </c>
      <c r="V114" s="14" t="s">
        <v>933</v>
      </c>
      <c r="W114" s="14" t="s">
        <v>936</v>
      </c>
      <c r="X114" s="14" t="s">
        <v>881</v>
      </c>
      <c r="Y114" s="14" t="s">
        <v>933</v>
      </c>
      <c r="AA114" s="14" t="s">
        <v>29</v>
      </c>
      <c r="AB114" s="14" t="s">
        <v>937</v>
      </c>
    </row>
    <row r="115" spans="1:28" s="12" customFormat="1" ht="12" customHeight="1">
      <c r="A115" s="17">
        <v>114</v>
      </c>
      <c r="B115" s="13" t="s">
        <v>1276</v>
      </c>
      <c r="C115" s="14" t="s">
        <v>938</v>
      </c>
      <c r="E115" s="14" t="s">
        <v>939</v>
      </c>
      <c r="F115" s="14" t="s">
        <v>42</v>
      </c>
      <c r="G115" s="14"/>
      <c r="H115" s="14" t="s">
        <v>29</v>
      </c>
      <c r="L115" s="15" t="s">
        <v>878</v>
      </c>
      <c r="M115" s="14" t="s">
        <v>940</v>
      </c>
      <c r="R115" s="14" t="s">
        <v>940</v>
      </c>
      <c r="U115" s="14" t="s">
        <v>938</v>
      </c>
      <c r="V115" s="14" t="s">
        <v>938</v>
      </c>
      <c r="W115" s="14" t="s">
        <v>941</v>
      </c>
      <c r="X115" s="14" t="s">
        <v>881</v>
      </c>
      <c r="Y115" s="14" t="s">
        <v>938</v>
      </c>
      <c r="AA115" s="14" t="s">
        <v>29</v>
      </c>
      <c r="AB115" s="14" t="s">
        <v>942</v>
      </c>
    </row>
    <row r="116" spans="1:28" s="12" customFormat="1" ht="12" customHeight="1">
      <c r="A116" s="17">
        <v>115</v>
      </c>
      <c r="B116" s="13" t="s">
        <v>1276</v>
      </c>
      <c r="C116" s="14" t="s">
        <v>943</v>
      </c>
      <c r="E116" s="14" t="s">
        <v>944</v>
      </c>
      <c r="F116" s="14" t="s">
        <v>42</v>
      </c>
      <c r="G116" s="14"/>
      <c r="H116" s="14" t="s">
        <v>29</v>
      </c>
      <c r="L116" s="15" t="s">
        <v>878</v>
      </c>
      <c r="M116" s="14" t="s">
        <v>945</v>
      </c>
      <c r="R116" s="14" t="s">
        <v>945</v>
      </c>
      <c r="U116" s="14" t="s">
        <v>943</v>
      </c>
      <c r="V116" s="14" t="s">
        <v>943</v>
      </c>
      <c r="W116" s="14" t="s">
        <v>946</v>
      </c>
      <c r="X116" s="14" t="s">
        <v>881</v>
      </c>
      <c r="Y116" s="14" t="s">
        <v>943</v>
      </c>
      <c r="AA116" s="14" t="s">
        <v>29</v>
      </c>
      <c r="AB116" s="14" t="s">
        <v>947</v>
      </c>
    </row>
    <row r="117" spans="1:28" s="12" customFormat="1" ht="12" customHeight="1">
      <c r="A117" s="17">
        <v>116</v>
      </c>
      <c r="B117" s="13" t="s">
        <v>1276</v>
      </c>
      <c r="C117" s="14" t="s">
        <v>948</v>
      </c>
      <c r="E117" s="14" t="s">
        <v>949</v>
      </c>
      <c r="F117" s="14" t="s">
        <v>42</v>
      </c>
      <c r="G117" s="14"/>
      <c r="H117" s="14" t="s">
        <v>29</v>
      </c>
      <c r="L117" s="15" t="s">
        <v>878</v>
      </c>
      <c r="M117" s="14" t="s">
        <v>950</v>
      </c>
      <c r="R117" s="14" t="s">
        <v>950</v>
      </c>
      <c r="U117" s="14" t="s">
        <v>948</v>
      </c>
      <c r="V117" s="14" t="s">
        <v>948</v>
      </c>
      <c r="W117" s="14" t="s">
        <v>951</v>
      </c>
      <c r="X117" s="14" t="s">
        <v>881</v>
      </c>
      <c r="Y117" s="14" t="s">
        <v>948</v>
      </c>
      <c r="AA117" s="14" t="s">
        <v>29</v>
      </c>
      <c r="AB117" s="14" t="s">
        <v>952</v>
      </c>
    </row>
    <row r="118" spans="1:28" s="12" customFormat="1" ht="12" customHeight="1">
      <c r="A118" s="17">
        <v>117</v>
      </c>
      <c r="B118" s="13" t="s">
        <v>1276</v>
      </c>
      <c r="C118" s="14" t="s">
        <v>953</v>
      </c>
      <c r="E118" s="14" t="s">
        <v>954</v>
      </c>
      <c r="F118" s="14" t="s">
        <v>42</v>
      </c>
      <c r="G118" s="14"/>
      <c r="H118" s="14" t="s">
        <v>29</v>
      </c>
      <c r="L118" s="15" t="s">
        <v>878</v>
      </c>
      <c r="M118" s="14" t="s">
        <v>955</v>
      </c>
      <c r="R118" s="14" t="s">
        <v>955</v>
      </c>
      <c r="U118" s="14" t="s">
        <v>953</v>
      </c>
      <c r="V118" s="14" t="s">
        <v>953</v>
      </c>
      <c r="W118" s="14" t="s">
        <v>956</v>
      </c>
      <c r="X118" s="14" t="s">
        <v>881</v>
      </c>
      <c r="Y118" s="14" t="s">
        <v>953</v>
      </c>
      <c r="AA118" s="14" t="s">
        <v>29</v>
      </c>
      <c r="AB118" s="14" t="s">
        <v>957</v>
      </c>
    </row>
    <row r="119" spans="1:28" s="12" customFormat="1" ht="12" customHeight="1">
      <c r="A119" s="17">
        <v>118</v>
      </c>
      <c r="B119" s="13" t="s">
        <v>1276</v>
      </c>
      <c r="C119" s="14" t="s">
        <v>958</v>
      </c>
      <c r="E119" s="14" t="s">
        <v>959</v>
      </c>
      <c r="F119" s="14" t="s">
        <v>42</v>
      </c>
      <c r="G119" s="14"/>
      <c r="H119" s="14" t="s">
        <v>29</v>
      </c>
      <c r="L119" s="15" t="s">
        <v>878</v>
      </c>
      <c r="M119" s="14" t="s">
        <v>960</v>
      </c>
      <c r="R119" s="14" t="s">
        <v>960</v>
      </c>
      <c r="U119" s="14" t="s">
        <v>958</v>
      </c>
      <c r="V119" s="14" t="s">
        <v>958</v>
      </c>
      <c r="W119" s="14" t="s">
        <v>961</v>
      </c>
      <c r="X119" s="14" t="s">
        <v>881</v>
      </c>
      <c r="Y119" s="14" t="s">
        <v>958</v>
      </c>
      <c r="AA119" s="14" t="s">
        <v>29</v>
      </c>
      <c r="AB119" s="14" t="s">
        <v>962</v>
      </c>
    </row>
    <row r="120" spans="1:28" s="12" customFormat="1" ht="12" customHeight="1">
      <c r="A120" s="17">
        <v>119</v>
      </c>
      <c r="B120" s="13" t="s">
        <v>1276</v>
      </c>
      <c r="C120" s="14" t="s">
        <v>963</v>
      </c>
      <c r="E120" s="14" t="s">
        <v>964</v>
      </c>
      <c r="F120" s="14" t="s">
        <v>42</v>
      </c>
      <c r="G120" s="14"/>
      <c r="H120" s="14" t="s">
        <v>29</v>
      </c>
      <c r="L120" s="15" t="s">
        <v>878</v>
      </c>
      <c r="M120" s="14" t="s">
        <v>965</v>
      </c>
      <c r="R120" s="14" t="s">
        <v>965</v>
      </c>
      <c r="U120" s="14" t="s">
        <v>963</v>
      </c>
      <c r="V120" s="14" t="s">
        <v>963</v>
      </c>
      <c r="W120" s="14" t="s">
        <v>966</v>
      </c>
      <c r="X120" s="14" t="s">
        <v>881</v>
      </c>
      <c r="Y120" s="14" t="s">
        <v>963</v>
      </c>
      <c r="AA120" s="14" t="s">
        <v>29</v>
      </c>
      <c r="AB120" s="14" t="s">
        <v>967</v>
      </c>
    </row>
    <row r="121" spans="1:28" s="12" customFormat="1" ht="12" customHeight="1">
      <c r="A121" s="17">
        <v>120</v>
      </c>
      <c r="B121" s="13" t="s">
        <v>1276</v>
      </c>
      <c r="C121" s="14" t="s">
        <v>968</v>
      </c>
      <c r="E121" s="14" t="s">
        <v>969</v>
      </c>
      <c r="F121" s="14" t="s">
        <v>42</v>
      </c>
      <c r="G121" s="14"/>
      <c r="H121" s="14" t="s">
        <v>29</v>
      </c>
      <c r="L121" s="15" t="s">
        <v>878</v>
      </c>
      <c r="M121" s="14" t="s">
        <v>970</v>
      </c>
      <c r="R121" s="14" t="s">
        <v>970</v>
      </c>
      <c r="U121" s="14" t="s">
        <v>968</v>
      </c>
      <c r="V121" s="14" t="s">
        <v>968</v>
      </c>
      <c r="W121" s="14" t="s">
        <v>971</v>
      </c>
      <c r="X121" s="14" t="s">
        <v>881</v>
      </c>
      <c r="Y121" s="14" t="s">
        <v>968</v>
      </c>
      <c r="AA121" s="14" t="s">
        <v>29</v>
      </c>
      <c r="AB121" s="14" t="s">
        <v>972</v>
      </c>
    </row>
    <row r="122" spans="1:28" s="12" customFormat="1" ht="12" customHeight="1">
      <c r="A122" s="17">
        <v>121</v>
      </c>
      <c r="B122" s="13" t="s">
        <v>1276</v>
      </c>
      <c r="C122" s="14" t="s">
        <v>973</v>
      </c>
      <c r="E122" s="14" t="s">
        <v>974</v>
      </c>
      <c r="F122" s="14" t="s">
        <v>42</v>
      </c>
      <c r="G122" s="14"/>
      <c r="H122" s="14" t="s">
        <v>29</v>
      </c>
      <c r="L122" s="15" t="s">
        <v>878</v>
      </c>
      <c r="M122" s="14" t="s">
        <v>975</v>
      </c>
      <c r="R122" s="14" t="s">
        <v>975</v>
      </c>
      <c r="U122" s="14" t="s">
        <v>973</v>
      </c>
      <c r="V122" s="14" t="s">
        <v>973</v>
      </c>
      <c r="W122" s="14" t="s">
        <v>976</v>
      </c>
      <c r="X122" s="14" t="s">
        <v>881</v>
      </c>
      <c r="Y122" s="14" t="s">
        <v>973</v>
      </c>
      <c r="AA122" s="14" t="s">
        <v>29</v>
      </c>
      <c r="AB122" s="14" t="s">
        <v>977</v>
      </c>
    </row>
    <row r="123" spans="1:28" s="12" customFormat="1" ht="12" customHeight="1">
      <c r="A123" s="17">
        <v>122</v>
      </c>
      <c r="B123" s="13" t="s">
        <v>1276</v>
      </c>
      <c r="C123" s="14" t="s">
        <v>978</v>
      </c>
      <c r="E123" s="14" t="s">
        <v>979</v>
      </c>
      <c r="F123" s="14" t="s">
        <v>42</v>
      </c>
      <c r="G123" s="14"/>
      <c r="H123" s="14" t="s">
        <v>29</v>
      </c>
      <c r="L123" s="15" t="s">
        <v>878</v>
      </c>
      <c r="M123" s="14" t="s">
        <v>980</v>
      </c>
      <c r="R123" s="14" t="s">
        <v>980</v>
      </c>
      <c r="U123" s="14" t="s">
        <v>978</v>
      </c>
      <c r="V123" s="14" t="s">
        <v>978</v>
      </c>
      <c r="W123" s="14" t="s">
        <v>981</v>
      </c>
      <c r="X123" s="14" t="s">
        <v>881</v>
      </c>
      <c r="Y123" s="14" t="s">
        <v>978</v>
      </c>
      <c r="AA123" s="14" t="s">
        <v>29</v>
      </c>
      <c r="AB123" s="14" t="s">
        <v>982</v>
      </c>
    </row>
    <row r="124" spans="1:28" s="12" customFormat="1" ht="12" customHeight="1">
      <c r="A124" s="17">
        <v>123</v>
      </c>
      <c r="B124" s="13" t="s">
        <v>1276</v>
      </c>
      <c r="C124" s="14" t="s">
        <v>983</v>
      </c>
      <c r="E124" s="14" t="s">
        <v>984</v>
      </c>
      <c r="F124" s="14" t="s">
        <v>42</v>
      </c>
      <c r="G124" s="14"/>
      <c r="H124" s="14" t="s">
        <v>29</v>
      </c>
      <c r="L124" s="15" t="s">
        <v>878</v>
      </c>
      <c r="M124" s="14" t="s">
        <v>985</v>
      </c>
      <c r="R124" s="14" t="s">
        <v>985</v>
      </c>
      <c r="U124" s="14" t="s">
        <v>983</v>
      </c>
      <c r="V124" s="14" t="s">
        <v>983</v>
      </c>
      <c r="W124" s="14" t="s">
        <v>986</v>
      </c>
      <c r="X124" s="14" t="s">
        <v>881</v>
      </c>
      <c r="Y124" s="14" t="s">
        <v>983</v>
      </c>
      <c r="AA124" s="14" t="s">
        <v>29</v>
      </c>
      <c r="AB124" s="14" t="s">
        <v>987</v>
      </c>
    </row>
    <row r="125" spans="1:28" s="12" customFormat="1" ht="12" customHeight="1">
      <c r="A125" s="17">
        <v>124</v>
      </c>
      <c r="B125" s="13" t="s">
        <v>1276</v>
      </c>
      <c r="C125" s="14" t="s">
        <v>1014</v>
      </c>
      <c r="D125" s="14" t="s">
        <v>499</v>
      </c>
      <c r="E125" s="14" t="s">
        <v>989</v>
      </c>
      <c r="F125" s="14" t="s">
        <v>42</v>
      </c>
      <c r="G125" s="14"/>
      <c r="H125" s="14" t="s">
        <v>29</v>
      </c>
      <c r="L125" s="15" t="s">
        <v>878</v>
      </c>
      <c r="M125" s="14" t="s">
        <v>990</v>
      </c>
      <c r="R125" s="14" t="s">
        <v>990</v>
      </c>
      <c r="U125" s="14" t="s">
        <v>988</v>
      </c>
      <c r="V125" s="14" t="s">
        <v>988</v>
      </c>
      <c r="W125" s="14" t="s">
        <v>991</v>
      </c>
      <c r="X125" s="14" t="s">
        <v>881</v>
      </c>
      <c r="Y125" s="14" t="s">
        <v>988</v>
      </c>
      <c r="Z125" s="14" t="s">
        <v>499</v>
      </c>
      <c r="AA125" s="14" t="s">
        <v>186</v>
      </c>
      <c r="AB125" s="14" t="s">
        <v>992</v>
      </c>
    </row>
    <row r="126" spans="1:28" s="12" customFormat="1" ht="12" customHeight="1">
      <c r="A126" s="17">
        <v>125</v>
      </c>
      <c r="B126" s="13" t="s">
        <v>1276</v>
      </c>
      <c r="C126" s="14" t="s">
        <v>993</v>
      </c>
      <c r="E126" s="14" t="s">
        <v>994</v>
      </c>
      <c r="F126" s="14" t="s">
        <v>42</v>
      </c>
      <c r="G126" s="14"/>
      <c r="H126" s="14" t="s">
        <v>29</v>
      </c>
      <c r="L126" s="15" t="s">
        <v>878</v>
      </c>
      <c r="M126" s="14" t="s">
        <v>995</v>
      </c>
      <c r="R126" s="14" t="s">
        <v>995</v>
      </c>
      <c r="U126" s="14" t="s">
        <v>993</v>
      </c>
      <c r="V126" s="14" t="s">
        <v>993</v>
      </c>
      <c r="W126" s="14" t="s">
        <v>996</v>
      </c>
      <c r="X126" s="14" t="s">
        <v>881</v>
      </c>
      <c r="Y126" s="14" t="s">
        <v>993</v>
      </c>
      <c r="AA126" s="14" t="s">
        <v>186</v>
      </c>
      <c r="AB126" s="14" t="s">
        <v>997</v>
      </c>
    </row>
    <row r="127" spans="1:28" s="5" customFormat="1" ht="12" customHeight="1">
      <c r="A127">
        <v>126</v>
      </c>
      <c r="B127" s="5" t="s">
        <v>1249</v>
      </c>
      <c r="C127" s="2" t="s">
        <v>1020</v>
      </c>
      <c r="D127" s="3" t="s">
        <v>1096</v>
      </c>
      <c r="E127" s="2" t="s">
        <v>1093</v>
      </c>
      <c r="F127" s="2" t="s">
        <v>42</v>
      </c>
      <c r="G127" s="4" t="s">
        <v>1002</v>
      </c>
      <c r="H127" s="4" t="s">
        <v>1002</v>
      </c>
      <c r="L127" s="3" t="s">
        <v>1076</v>
      </c>
      <c r="M127" s="2" t="s">
        <v>1077</v>
      </c>
      <c r="R127" s="2" t="s">
        <v>1077</v>
      </c>
      <c r="Y127" s="2" t="s">
        <v>1020</v>
      </c>
      <c r="Z127" s="2" t="s">
        <v>1020</v>
      </c>
    </row>
    <row r="128" spans="1:28" s="5" customFormat="1" ht="12" customHeight="1">
      <c r="A128">
        <v>127</v>
      </c>
      <c r="B128" s="5" t="s">
        <v>1249</v>
      </c>
      <c r="C128" s="2" t="s">
        <v>1025</v>
      </c>
      <c r="D128" s="3" t="s">
        <v>1095</v>
      </c>
      <c r="E128" s="2" t="s">
        <v>1094</v>
      </c>
      <c r="F128" s="2" t="s">
        <v>42</v>
      </c>
      <c r="G128" s="4" t="s">
        <v>1002</v>
      </c>
      <c r="H128" s="4" t="s">
        <v>1002</v>
      </c>
      <c r="L128" s="3" t="s">
        <v>1075</v>
      </c>
      <c r="M128" s="2" t="s">
        <v>1078</v>
      </c>
      <c r="R128" s="2" t="s">
        <v>1078</v>
      </c>
      <c r="Y128" s="2" t="s">
        <v>1025</v>
      </c>
      <c r="Z128" s="2" t="s">
        <v>1025</v>
      </c>
    </row>
    <row r="129" spans="1:26" s="5" customFormat="1" ht="12" customHeight="1">
      <c r="A129">
        <v>128</v>
      </c>
      <c r="B129" s="5" t="s">
        <v>1249</v>
      </c>
      <c r="C129" s="2" t="s">
        <v>1021</v>
      </c>
      <c r="D129" s="3" t="s">
        <v>1097</v>
      </c>
      <c r="E129" s="3" t="s">
        <v>1157</v>
      </c>
      <c r="F129" s="2" t="s">
        <v>42</v>
      </c>
      <c r="G129" s="4" t="s">
        <v>1002</v>
      </c>
      <c r="H129" s="4" t="s">
        <v>1002</v>
      </c>
      <c r="L129" s="3" t="s">
        <v>1067</v>
      </c>
      <c r="M129" s="5" t="s">
        <v>1045</v>
      </c>
      <c r="R129" s="5" t="s">
        <v>1045</v>
      </c>
      <c r="Y129" s="2" t="s">
        <v>1021</v>
      </c>
      <c r="Z129" s="2" t="s">
        <v>1021</v>
      </c>
    </row>
    <row r="130" spans="1:26" s="5" customFormat="1" ht="12" customHeight="1">
      <c r="A130">
        <v>129</v>
      </c>
      <c r="B130" s="5" t="s">
        <v>1249</v>
      </c>
      <c r="C130" s="2" t="s">
        <v>1023</v>
      </c>
      <c r="D130" s="3" t="s">
        <v>1098</v>
      </c>
      <c r="E130" s="3" t="s">
        <v>1157</v>
      </c>
      <c r="F130" s="2" t="s">
        <v>1060</v>
      </c>
      <c r="G130" s="4" t="s">
        <v>1002</v>
      </c>
      <c r="H130" s="4" t="s">
        <v>1002</v>
      </c>
      <c r="L130" s="3" t="s">
        <v>1067</v>
      </c>
      <c r="M130" s="5" t="s">
        <v>1046</v>
      </c>
      <c r="R130" s="5" t="s">
        <v>1046</v>
      </c>
      <c r="Y130" s="2" t="s">
        <v>1023</v>
      </c>
      <c r="Z130" s="2" t="s">
        <v>1023</v>
      </c>
    </row>
    <row r="131" spans="1:26" s="5" customFormat="1" ht="12" customHeight="1">
      <c r="A131">
        <v>130</v>
      </c>
      <c r="B131" s="5" t="s">
        <v>1249</v>
      </c>
      <c r="C131" s="2" t="s">
        <v>1064</v>
      </c>
      <c r="E131" s="3" t="s">
        <v>1065</v>
      </c>
      <c r="F131" s="2" t="s">
        <v>1060</v>
      </c>
      <c r="G131" s="4" t="s">
        <v>1002</v>
      </c>
      <c r="H131" s="4" t="s">
        <v>1002</v>
      </c>
      <c r="L131" s="3" t="s">
        <v>1068</v>
      </c>
      <c r="M131" s="3" t="s">
        <v>1066</v>
      </c>
      <c r="R131" s="3" t="s">
        <v>1066</v>
      </c>
      <c r="Y131" s="2" t="s">
        <v>1064</v>
      </c>
      <c r="Z131" s="2" t="s">
        <v>1064</v>
      </c>
    </row>
    <row r="132" spans="1:26" s="5" customFormat="1" ht="12" customHeight="1">
      <c r="A132">
        <v>131</v>
      </c>
      <c r="B132" s="5" t="s">
        <v>1249</v>
      </c>
      <c r="C132" s="2" t="s">
        <v>1205</v>
      </c>
      <c r="E132" s="3" t="s">
        <v>1061</v>
      </c>
      <c r="F132" s="2" t="s">
        <v>42</v>
      </c>
      <c r="G132" s="2" t="s">
        <v>811</v>
      </c>
      <c r="H132" s="2" t="s">
        <v>811</v>
      </c>
      <c r="L132" s="3" t="s">
        <v>1074</v>
      </c>
      <c r="M132" s="3" t="s">
        <v>1062</v>
      </c>
      <c r="R132" s="3" t="s">
        <v>1062</v>
      </c>
      <c r="Y132" s="2" t="s">
        <v>1022</v>
      </c>
      <c r="Z132" s="2" t="s">
        <v>1022</v>
      </c>
    </row>
    <row r="133" spans="1:26" s="5" customFormat="1" ht="12" customHeight="1">
      <c r="A133">
        <v>132</v>
      </c>
      <c r="B133" s="5" t="s">
        <v>1249</v>
      </c>
      <c r="C133" s="2" t="s">
        <v>1018</v>
      </c>
      <c r="D133" s="3" t="s">
        <v>1057</v>
      </c>
      <c r="E133" s="3" t="s">
        <v>1058</v>
      </c>
      <c r="F133" s="2" t="s">
        <v>42</v>
      </c>
      <c r="G133" s="5" t="s">
        <v>1100</v>
      </c>
      <c r="H133" s="5" t="s">
        <v>1100</v>
      </c>
      <c r="L133" s="3" t="s">
        <v>1073</v>
      </c>
      <c r="M133" s="3" t="s">
        <v>1071</v>
      </c>
      <c r="R133" s="3" t="s">
        <v>1071</v>
      </c>
      <c r="Y133" s="2" t="s">
        <v>1018</v>
      </c>
      <c r="Z133" s="2" t="s">
        <v>1018</v>
      </c>
    </row>
    <row r="134" spans="1:26" s="5" customFormat="1" ht="12" customHeight="1">
      <c r="A134">
        <v>133</v>
      </c>
      <c r="B134" s="5" t="s">
        <v>1249</v>
      </c>
      <c r="C134" s="2" t="s">
        <v>1024</v>
      </c>
      <c r="D134" s="3" t="s">
        <v>1056</v>
      </c>
      <c r="E134" s="5" t="s">
        <v>41</v>
      </c>
      <c r="F134" s="2" t="s">
        <v>42</v>
      </c>
      <c r="G134" s="2" t="s">
        <v>1101</v>
      </c>
      <c r="H134" s="2" t="s">
        <v>1101</v>
      </c>
      <c r="L134" s="3" t="s">
        <v>1099</v>
      </c>
      <c r="M134" s="3" t="s">
        <v>1072</v>
      </c>
      <c r="R134" s="3" t="s">
        <v>1072</v>
      </c>
      <c r="Y134" s="2" t="s">
        <v>1024</v>
      </c>
      <c r="Z134" s="2" t="s">
        <v>1024</v>
      </c>
    </row>
    <row r="135" spans="1:26" s="5" customFormat="1" ht="12" customHeight="1">
      <c r="A135">
        <v>134</v>
      </c>
      <c r="B135" s="5" t="s">
        <v>1249</v>
      </c>
      <c r="C135" s="2" t="s">
        <v>1029</v>
      </c>
      <c r="E135" s="3" t="s">
        <v>1059</v>
      </c>
      <c r="F135" s="2" t="s">
        <v>42</v>
      </c>
      <c r="G135" s="5" t="s">
        <v>1100</v>
      </c>
      <c r="H135" s="5" t="s">
        <v>1100</v>
      </c>
      <c r="L135" s="3" t="s">
        <v>1102</v>
      </c>
      <c r="M135" s="3" t="s">
        <v>1070</v>
      </c>
      <c r="R135" s="3" t="s">
        <v>1070</v>
      </c>
      <c r="Y135" s="2" t="s">
        <v>1029</v>
      </c>
      <c r="Z135" s="2" t="s">
        <v>1029</v>
      </c>
    </row>
    <row r="136" spans="1:26" s="5" customFormat="1" ht="12" customHeight="1">
      <c r="A136">
        <v>135</v>
      </c>
      <c r="B136" s="5" t="s">
        <v>1249</v>
      </c>
      <c r="C136" s="2" t="s">
        <v>1028</v>
      </c>
      <c r="E136" s="3" t="s">
        <v>1156</v>
      </c>
      <c r="F136" s="2" t="s">
        <v>42</v>
      </c>
      <c r="G136" s="2" t="s">
        <v>1240</v>
      </c>
      <c r="H136" s="3" t="s">
        <v>1121</v>
      </c>
      <c r="L136" s="3" t="s">
        <v>1147</v>
      </c>
      <c r="M136" s="5" t="s">
        <v>1047</v>
      </c>
      <c r="R136" s="5" t="s">
        <v>1047</v>
      </c>
      <c r="Y136" s="2" t="s">
        <v>1028</v>
      </c>
      <c r="Z136" s="2" t="s">
        <v>1028</v>
      </c>
    </row>
    <row r="137" spans="1:26" s="5" customFormat="1" ht="12" customHeight="1">
      <c r="A137">
        <v>136</v>
      </c>
      <c r="B137" s="5" t="s">
        <v>1249</v>
      </c>
      <c r="C137" s="3" t="s">
        <v>1171</v>
      </c>
      <c r="E137" s="3" t="s">
        <v>1172</v>
      </c>
      <c r="F137" s="3" t="s">
        <v>1060</v>
      </c>
      <c r="G137" s="3" t="s">
        <v>1173</v>
      </c>
      <c r="H137" s="3" t="s">
        <v>1173</v>
      </c>
      <c r="L137" s="3" t="s">
        <v>1186</v>
      </c>
      <c r="M137" s="5" t="s">
        <v>1175</v>
      </c>
      <c r="R137" s="5" t="s">
        <v>1175</v>
      </c>
      <c r="Y137" s="3" t="s">
        <v>1171</v>
      </c>
      <c r="Z137" s="3" t="s">
        <v>1171</v>
      </c>
    </row>
    <row r="138" spans="1:26" s="5" customFormat="1" ht="12" customHeight="1">
      <c r="A138">
        <v>137</v>
      </c>
      <c r="B138" s="5" t="s">
        <v>1249</v>
      </c>
      <c r="C138" s="2" t="s">
        <v>1032</v>
      </c>
      <c r="E138" s="3" t="s">
        <v>1127</v>
      </c>
      <c r="F138" s="2" t="s">
        <v>42</v>
      </c>
      <c r="G138" s="2" t="s">
        <v>1240</v>
      </c>
      <c r="H138" s="5" t="s">
        <v>640</v>
      </c>
      <c r="L138" s="3" t="s">
        <v>1165</v>
      </c>
      <c r="M138" s="3" t="s">
        <v>1162</v>
      </c>
      <c r="R138" s="3" t="s">
        <v>1162</v>
      </c>
      <c r="Y138" s="2" t="s">
        <v>1032</v>
      </c>
      <c r="Z138" s="2" t="s">
        <v>1032</v>
      </c>
    </row>
    <row r="139" spans="1:26" s="5" customFormat="1" ht="12" customHeight="1">
      <c r="A139">
        <v>138</v>
      </c>
      <c r="B139" s="5" t="s">
        <v>1249</v>
      </c>
      <c r="C139" s="2" t="s">
        <v>1033</v>
      </c>
      <c r="E139" s="2" t="s">
        <v>82</v>
      </c>
      <c r="F139" s="2" t="s">
        <v>42</v>
      </c>
      <c r="G139" s="2" t="s">
        <v>1240</v>
      </c>
      <c r="H139" s="2" t="s">
        <v>714</v>
      </c>
      <c r="L139" s="3" t="s">
        <v>1104</v>
      </c>
      <c r="M139" s="6" t="s">
        <v>1105</v>
      </c>
      <c r="R139" s="6" t="s">
        <v>1105</v>
      </c>
      <c r="Y139" s="2" t="s">
        <v>1033</v>
      </c>
      <c r="Z139" s="2" t="s">
        <v>1033</v>
      </c>
    </row>
    <row r="140" spans="1:26" s="5" customFormat="1" ht="12" customHeight="1">
      <c r="A140">
        <v>139</v>
      </c>
      <c r="B140" s="5" t="s">
        <v>1249</v>
      </c>
      <c r="C140" s="2" t="s">
        <v>1034</v>
      </c>
      <c r="E140" s="2" t="s">
        <v>82</v>
      </c>
      <c r="F140" s="2" t="s">
        <v>42</v>
      </c>
      <c r="G140" s="2" t="s">
        <v>1240</v>
      </c>
      <c r="H140" s="2" t="s">
        <v>714</v>
      </c>
      <c r="L140" s="3" t="s">
        <v>1104</v>
      </c>
      <c r="M140" s="6" t="s">
        <v>1106</v>
      </c>
      <c r="R140" s="6" t="s">
        <v>1106</v>
      </c>
      <c r="Y140" s="2" t="s">
        <v>1034</v>
      </c>
      <c r="Z140" s="2" t="s">
        <v>1034</v>
      </c>
    </row>
    <row r="141" spans="1:26" s="5" customFormat="1" ht="12" customHeight="1">
      <c r="A141">
        <v>140</v>
      </c>
      <c r="B141" s="5" t="s">
        <v>1249</v>
      </c>
      <c r="C141" s="2" t="s">
        <v>1035</v>
      </c>
      <c r="E141" s="2" t="s">
        <v>82</v>
      </c>
      <c r="F141" s="2" t="s">
        <v>42</v>
      </c>
      <c r="G141" s="2" t="s">
        <v>1240</v>
      </c>
      <c r="H141" s="2" t="s">
        <v>714</v>
      </c>
      <c r="L141" s="3" t="s">
        <v>1107</v>
      </c>
      <c r="M141" s="3" t="s">
        <v>1108</v>
      </c>
      <c r="R141" s="3" t="s">
        <v>1108</v>
      </c>
      <c r="Y141" s="2" t="s">
        <v>1035</v>
      </c>
      <c r="Z141" s="2" t="s">
        <v>1035</v>
      </c>
    </row>
    <row r="142" spans="1:26" s="5" customFormat="1" ht="12" customHeight="1">
      <c r="A142">
        <v>141</v>
      </c>
      <c r="B142" s="5" t="s">
        <v>1249</v>
      </c>
      <c r="C142" s="3" t="s">
        <v>1036</v>
      </c>
      <c r="E142" s="2" t="s">
        <v>1139</v>
      </c>
      <c r="F142" s="2" t="s">
        <v>42</v>
      </c>
      <c r="G142" s="2" t="s">
        <v>1240</v>
      </c>
      <c r="H142" s="2" t="s">
        <v>640</v>
      </c>
      <c r="L142" s="3" t="s">
        <v>1138</v>
      </c>
      <c r="M142" s="5" t="s">
        <v>1141</v>
      </c>
      <c r="R142" s="5" t="s">
        <v>1141</v>
      </c>
      <c r="Y142" s="3" t="s">
        <v>1036</v>
      </c>
      <c r="Z142" s="3" t="s">
        <v>1036</v>
      </c>
    </row>
    <row r="143" spans="1:26" s="5" customFormat="1" ht="12" customHeight="1">
      <c r="A143">
        <v>142</v>
      </c>
      <c r="B143" s="5" t="s">
        <v>1249</v>
      </c>
      <c r="C143" s="2" t="s">
        <v>1169</v>
      </c>
      <c r="D143" s="3" t="s">
        <v>1168</v>
      </c>
      <c r="E143" s="2" t="s">
        <v>1167</v>
      </c>
      <c r="F143" s="2" t="s">
        <v>42</v>
      </c>
      <c r="G143" s="2" t="s">
        <v>1247</v>
      </c>
      <c r="H143" s="2" t="s">
        <v>758</v>
      </c>
      <c r="L143" s="3" t="s">
        <v>1147</v>
      </c>
      <c r="M143" s="5" t="s">
        <v>1170</v>
      </c>
      <c r="R143" s="5" t="s">
        <v>1170</v>
      </c>
      <c r="Y143" s="2" t="s">
        <v>1169</v>
      </c>
      <c r="Z143" s="2" t="s">
        <v>1169</v>
      </c>
    </row>
    <row r="144" spans="1:26" s="5" customFormat="1" ht="12" customHeight="1">
      <c r="A144">
        <v>143</v>
      </c>
      <c r="B144" s="5" t="s">
        <v>1249</v>
      </c>
      <c r="C144" s="2" t="s">
        <v>1088</v>
      </c>
      <c r="E144" s="3" t="s">
        <v>1127</v>
      </c>
      <c r="F144" s="2" t="s">
        <v>1060</v>
      </c>
      <c r="G144" s="2" t="s">
        <v>1247</v>
      </c>
      <c r="H144" s="2" t="s">
        <v>758</v>
      </c>
      <c r="L144" s="5" t="s">
        <v>1087</v>
      </c>
      <c r="M144" s="3" t="s">
        <v>1089</v>
      </c>
      <c r="R144" s="3" t="s">
        <v>1089</v>
      </c>
      <c r="Y144" s="2" t="s">
        <v>1088</v>
      </c>
      <c r="Z144" s="2" t="s">
        <v>1088</v>
      </c>
    </row>
    <row r="145" spans="1:26" s="5" customFormat="1" ht="12" customHeight="1">
      <c r="A145">
        <v>144</v>
      </c>
      <c r="B145" s="5" t="s">
        <v>1249</v>
      </c>
      <c r="C145" s="3" t="s">
        <v>1019</v>
      </c>
      <c r="E145" s="3" t="s">
        <v>1155</v>
      </c>
      <c r="F145" s="2" t="s">
        <v>1060</v>
      </c>
      <c r="G145" s="2" t="s">
        <v>1247</v>
      </c>
      <c r="H145" s="2" t="s">
        <v>758</v>
      </c>
      <c r="L145" s="3" t="s">
        <v>1159</v>
      </c>
      <c r="M145" s="6" t="s">
        <v>1158</v>
      </c>
      <c r="R145" s="6" t="s">
        <v>1158</v>
      </c>
      <c r="Y145" s="3" t="s">
        <v>1019</v>
      </c>
      <c r="Z145" s="3" t="s">
        <v>1019</v>
      </c>
    </row>
    <row r="146" spans="1:26" s="5" customFormat="1" ht="12" customHeight="1">
      <c r="A146">
        <v>145</v>
      </c>
      <c r="B146" s="5" t="s">
        <v>1249</v>
      </c>
      <c r="C146" s="2" t="s">
        <v>1148</v>
      </c>
      <c r="E146" s="3" t="s">
        <v>1155</v>
      </c>
      <c r="F146" s="2" t="s">
        <v>1060</v>
      </c>
      <c r="G146" s="2" t="s">
        <v>1242</v>
      </c>
      <c r="H146" s="2" t="s">
        <v>1000</v>
      </c>
      <c r="L146" s="5" t="s">
        <v>1150</v>
      </c>
      <c r="M146" s="3" t="s">
        <v>1151</v>
      </c>
      <c r="R146" s="3" t="s">
        <v>1151</v>
      </c>
      <c r="Y146" s="2" t="s">
        <v>1148</v>
      </c>
      <c r="Z146" s="2" t="s">
        <v>1148</v>
      </c>
    </row>
    <row r="147" spans="1:26" s="5" customFormat="1" ht="12" customHeight="1">
      <c r="A147">
        <v>146</v>
      </c>
      <c r="B147" s="5" t="s">
        <v>1249</v>
      </c>
      <c r="C147" s="2" t="s">
        <v>1149</v>
      </c>
      <c r="D147" s="3" t="s">
        <v>1153</v>
      </c>
      <c r="E147" s="3" t="s">
        <v>1155</v>
      </c>
      <c r="F147" s="2" t="s">
        <v>1060</v>
      </c>
      <c r="G147" s="2" t="s">
        <v>1242</v>
      </c>
      <c r="H147" s="2" t="s">
        <v>1000</v>
      </c>
      <c r="L147" s="3" t="s">
        <v>1152</v>
      </c>
      <c r="M147" s="3" t="s">
        <v>1154</v>
      </c>
      <c r="R147" s="3" t="s">
        <v>1154</v>
      </c>
      <c r="Y147" s="2" t="s">
        <v>1149</v>
      </c>
      <c r="Z147" s="2" t="s">
        <v>1149</v>
      </c>
    </row>
    <row r="148" spans="1:26" s="5" customFormat="1" ht="12" customHeight="1">
      <c r="A148">
        <v>147</v>
      </c>
      <c r="B148" s="5" t="s">
        <v>1249</v>
      </c>
      <c r="C148" s="2" t="s">
        <v>1111</v>
      </c>
      <c r="E148" s="5" t="s">
        <v>1112</v>
      </c>
      <c r="F148" s="2" t="s">
        <v>1113</v>
      </c>
      <c r="G148" s="2" t="s">
        <v>1242</v>
      </c>
      <c r="H148" s="2" t="s">
        <v>1000</v>
      </c>
      <c r="L148" s="3" t="s">
        <v>1110</v>
      </c>
      <c r="M148" s="3" t="s">
        <v>1114</v>
      </c>
      <c r="R148" s="3" t="s">
        <v>1114</v>
      </c>
      <c r="Y148" s="2" t="s">
        <v>1111</v>
      </c>
      <c r="Z148" s="2" t="s">
        <v>1111</v>
      </c>
    </row>
    <row r="149" spans="1:26" s="5" customFormat="1" ht="12" customHeight="1">
      <c r="A149">
        <v>148</v>
      </c>
      <c r="B149" s="5" t="s">
        <v>1249</v>
      </c>
      <c r="C149" s="2" t="s">
        <v>1080</v>
      </c>
      <c r="E149" s="3" t="s">
        <v>1081</v>
      </c>
      <c r="F149" s="2" t="s">
        <v>1113</v>
      </c>
      <c r="G149" s="2" t="s">
        <v>1246</v>
      </c>
      <c r="H149" s="2" t="s">
        <v>658</v>
      </c>
      <c r="L149" s="3" t="s">
        <v>1079</v>
      </c>
      <c r="M149" s="3" t="s">
        <v>1082</v>
      </c>
      <c r="R149" s="3" t="s">
        <v>1082</v>
      </c>
      <c r="Y149" s="2" t="s">
        <v>1080</v>
      </c>
      <c r="Z149" s="2" t="s">
        <v>1080</v>
      </c>
    </row>
    <row r="150" spans="1:26" s="5" customFormat="1" ht="12" customHeight="1">
      <c r="A150">
        <v>149</v>
      </c>
      <c r="B150" s="5" t="s">
        <v>1249</v>
      </c>
      <c r="C150" s="2" t="s">
        <v>1132</v>
      </c>
      <c r="E150" s="3" t="s">
        <v>1134</v>
      </c>
      <c r="F150" s="2" t="s">
        <v>1063</v>
      </c>
      <c r="G150" s="2" t="s">
        <v>1246</v>
      </c>
      <c r="H150" s="2" t="s">
        <v>1179</v>
      </c>
      <c r="L150" s="3" t="s">
        <v>1133</v>
      </c>
      <c r="M150" s="3" t="s">
        <v>1135</v>
      </c>
      <c r="R150" s="3" t="s">
        <v>1135</v>
      </c>
      <c r="Y150" s="2" t="s">
        <v>1132</v>
      </c>
      <c r="Z150" s="2" t="s">
        <v>1132</v>
      </c>
    </row>
    <row r="151" spans="1:26" s="5" customFormat="1" ht="12" customHeight="1">
      <c r="A151">
        <v>150</v>
      </c>
      <c r="B151" s="5" t="s">
        <v>1249</v>
      </c>
      <c r="C151" s="2" t="s">
        <v>1037</v>
      </c>
      <c r="E151" s="3" t="s">
        <v>1177</v>
      </c>
      <c r="F151" s="3" t="s">
        <v>1063</v>
      </c>
      <c r="G151" s="3" t="s">
        <v>1246</v>
      </c>
      <c r="H151" s="3" t="s">
        <v>1176</v>
      </c>
      <c r="L151" s="3" t="s">
        <v>1180</v>
      </c>
      <c r="M151" s="3" t="s">
        <v>1178</v>
      </c>
      <c r="R151" s="3" t="s">
        <v>1178</v>
      </c>
      <c r="Y151" s="2" t="s">
        <v>1037</v>
      </c>
      <c r="Z151" s="2" t="s">
        <v>1037</v>
      </c>
    </row>
    <row r="152" spans="1:26" s="5" customFormat="1" ht="12" customHeight="1">
      <c r="A152">
        <v>151</v>
      </c>
      <c r="B152" s="5" t="s">
        <v>1249</v>
      </c>
      <c r="C152" s="2" t="s">
        <v>1048</v>
      </c>
      <c r="E152" s="3" t="s">
        <v>1127</v>
      </c>
      <c r="F152" s="2" t="s">
        <v>1126</v>
      </c>
      <c r="G152" s="3" t="s">
        <v>1117</v>
      </c>
      <c r="H152" s="3" t="s">
        <v>1117</v>
      </c>
      <c r="L152" s="3" t="s">
        <v>1119</v>
      </c>
      <c r="M152" s="3" t="s">
        <v>1049</v>
      </c>
      <c r="R152" s="3" t="s">
        <v>1049</v>
      </c>
      <c r="Y152" s="2" t="s">
        <v>1048</v>
      </c>
      <c r="Z152" s="2" t="s">
        <v>1048</v>
      </c>
    </row>
    <row r="153" spans="1:26" s="5" customFormat="1" ht="12" customHeight="1">
      <c r="A153">
        <v>152</v>
      </c>
      <c r="B153" s="5" t="s">
        <v>1249</v>
      </c>
      <c r="C153" s="2" t="s">
        <v>1038</v>
      </c>
      <c r="D153" s="3" t="s">
        <v>1039</v>
      </c>
      <c r="E153" s="3" t="s">
        <v>1127</v>
      </c>
      <c r="F153" s="2" t="s">
        <v>92</v>
      </c>
      <c r="G153" s="3" t="s">
        <v>1117</v>
      </c>
      <c r="H153" s="3" t="s">
        <v>1117</v>
      </c>
      <c r="L153" s="3" t="s">
        <v>1118</v>
      </c>
      <c r="M153" s="3" t="s">
        <v>1120</v>
      </c>
      <c r="R153" s="3" t="s">
        <v>1120</v>
      </c>
      <c r="Y153" s="2" t="s">
        <v>1038</v>
      </c>
      <c r="Z153" s="2" t="s">
        <v>1038</v>
      </c>
    </row>
    <row r="154" spans="1:26" s="5" customFormat="1" ht="12" customHeight="1">
      <c r="A154">
        <v>153</v>
      </c>
      <c r="B154" s="5" t="s">
        <v>1249</v>
      </c>
      <c r="C154" s="2" t="s">
        <v>1041</v>
      </c>
      <c r="E154" s="5" t="s">
        <v>1122</v>
      </c>
      <c r="F154" s="2" t="s">
        <v>92</v>
      </c>
      <c r="G154" s="3" t="s">
        <v>1117</v>
      </c>
      <c r="H154" s="3" t="s">
        <v>1117</v>
      </c>
      <c r="L154" s="5" t="s">
        <v>1050</v>
      </c>
      <c r="M154" s="5" t="s">
        <v>1124</v>
      </c>
      <c r="R154" s="5" t="s">
        <v>1124</v>
      </c>
      <c r="Y154" s="2" t="s">
        <v>1041</v>
      </c>
      <c r="Z154" s="2" t="s">
        <v>1041</v>
      </c>
    </row>
    <row r="155" spans="1:26" s="5" customFormat="1" ht="12" customHeight="1">
      <c r="A155">
        <v>154</v>
      </c>
      <c r="B155" s="5" t="s">
        <v>1249</v>
      </c>
      <c r="C155" s="3" t="s">
        <v>1040</v>
      </c>
      <c r="E155" s="5" t="s">
        <v>1123</v>
      </c>
      <c r="F155" s="2" t="s">
        <v>92</v>
      </c>
      <c r="G155" s="3" t="s">
        <v>1117</v>
      </c>
      <c r="H155" s="3" t="s">
        <v>1117</v>
      </c>
      <c r="L155" s="5" t="s">
        <v>1050</v>
      </c>
      <c r="M155" s="5" t="s">
        <v>1125</v>
      </c>
      <c r="R155" s="5" t="s">
        <v>1125</v>
      </c>
      <c r="Y155" s="3" t="s">
        <v>1040</v>
      </c>
      <c r="Z155" s="3" t="s">
        <v>1040</v>
      </c>
    </row>
    <row r="156" spans="1:26" s="5" customFormat="1" ht="12" customHeight="1">
      <c r="A156">
        <v>155</v>
      </c>
      <c r="B156" s="5" t="s">
        <v>1249</v>
      </c>
      <c r="C156" s="2" t="s">
        <v>1042</v>
      </c>
      <c r="E156" s="3" t="s">
        <v>1164</v>
      </c>
      <c r="F156" s="2" t="s">
        <v>1126</v>
      </c>
      <c r="G156" s="3" t="s">
        <v>1001</v>
      </c>
      <c r="H156" s="3" t="s">
        <v>1001</v>
      </c>
      <c r="L156" s="3" t="s">
        <v>1163</v>
      </c>
      <c r="M156" s="3" t="s">
        <v>1166</v>
      </c>
      <c r="R156" s="3" t="s">
        <v>1166</v>
      </c>
      <c r="Y156" s="2" t="s">
        <v>1042</v>
      </c>
      <c r="Z156" s="2" t="s">
        <v>1042</v>
      </c>
    </row>
    <row r="157" spans="1:26" s="5" customFormat="1" ht="12" customHeight="1">
      <c r="A157">
        <v>156</v>
      </c>
      <c r="B157" s="5" t="s">
        <v>1249</v>
      </c>
      <c r="C157" s="2" t="s">
        <v>1043</v>
      </c>
      <c r="E157" s="3" t="s">
        <v>1144</v>
      </c>
      <c r="F157" s="3" t="s">
        <v>1063</v>
      </c>
      <c r="G157" s="2" t="s">
        <v>789</v>
      </c>
      <c r="H157" s="2" t="s">
        <v>789</v>
      </c>
      <c r="L157" s="3" t="s">
        <v>1044</v>
      </c>
      <c r="M157" s="3" t="s">
        <v>1145</v>
      </c>
      <c r="R157" s="3" t="s">
        <v>1145</v>
      </c>
      <c r="Y157" s="2" t="s">
        <v>1043</v>
      </c>
      <c r="Z157" s="2" t="s">
        <v>1043</v>
      </c>
    </row>
    <row r="158" spans="1:26" s="5" customFormat="1" ht="12" customHeight="1">
      <c r="A158">
        <v>157</v>
      </c>
      <c r="B158" s="5" t="s">
        <v>1249</v>
      </c>
      <c r="C158" s="2" t="s">
        <v>1030</v>
      </c>
      <c r="E158" s="5" t="s">
        <v>1142</v>
      </c>
      <c r="F158" s="2" t="s">
        <v>1063</v>
      </c>
      <c r="G158" s="3" t="s">
        <v>1001</v>
      </c>
      <c r="H158" s="3" t="s">
        <v>1001</v>
      </c>
      <c r="L158" s="3" t="s">
        <v>1143</v>
      </c>
      <c r="M158" s="3" t="s">
        <v>1146</v>
      </c>
      <c r="R158" s="3" t="s">
        <v>1146</v>
      </c>
      <c r="Y158" s="2" t="s">
        <v>1030</v>
      </c>
      <c r="Z158" s="2" t="s">
        <v>1030</v>
      </c>
    </row>
    <row r="159" spans="1:26" s="5" customFormat="1" ht="12" customHeight="1">
      <c r="A159">
        <v>158</v>
      </c>
      <c r="B159" s="5" t="s">
        <v>1249</v>
      </c>
      <c r="C159" s="3" t="s">
        <v>1031</v>
      </c>
      <c r="E159" s="3" t="s">
        <v>1091</v>
      </c>
      <c r="F159" s="3" t="s">
        <v>1063</v>
      </c>
      <c r="G159" s="3" t="s">
        <v>1001</v>
      </c>
      <c r="H159" s="3" t="s">
        <v>1001</v>
      </c>
      <c r="L159" s="3" t="s">
        <v>1090</v>
      </c>
      <c r="M159" s="3" t="s">
        <v>1092</v>
      </c>
      <c r="R159" s="3" t="s">
        <v>1092</v>
      </c>
      <c r="Y159" s="3" t="s">
        <v>1031</v>
      </c>
      <c r="Z159" s="3" t="s">
        <v>1031</v>
      </c>
    </row>
    <row r="160" spans="1:26" s="5" customFormat="1" ht="12" customHeight="1">
      <c r="A160">
        <v>159</v>
      </c>
      <c r="B160" s="5" t="s">
        <v>1249</v>
      </c>
      <c r="C160" s="2" t="s">
        <v>1026</v>
      </c>
      <c r="D160" s="3" t="s">
        <v>1051</v>
      </c>
      <c r="E160" s="3" t="s">
        <v>1052</v>
      </c>
      <c r="F160" s="2" t="s">
        <v>1063</v>
      </c>
      <c r="G160" s="3" t="s">
        <v>1115</v>
      </c>
      <c r="H160" s="3" t="s">
        <v>1115</v>
      </c>
      <c r="L160" s="3" t="s">
        <v>1137</v>
      </c>
      <c r="M160" s="3" t="s">
        <v>1136</v>
      </c>
      <c r="R160" s="3" t="s">
        <v>1136</v>
      </c>
      <c r="Y160" s="2" t="s">
        <v>1026</v>
      </c>
      <c r="Z160" s="2" t="s">
        <v>1026</v>
      </c>
    </row>
    <row r="161" spans="1:26" s="5" customFormat="1" ht="12" customHeight="1">
      <c r="A161">
        <v>160</v>
      </c>
      <c r="B161" s="5" t="s">
        <v>1249</v>
      </c>
      <c r="C161" s="2" t="s">
        <v>1160</v>
      </c>
      <c r="D161" s="3"/>
      <c r="E161" s="3" t="s">
        <v>1127</v>
      </c>
      <c r="F161" s="2" t="s">
        <v>1063</v>
      </c>
      <c r="G161" s="3" t="s">
        <v>1115</v>
      </c>
      <c r="H161" s="3" t="s">
        <v>1115</v>
      </c>
      <c r="L161" s="3" t="s">
        <v>1069</v>
      </c>
      <c r="M161" s="3" t="s">
        <v>1161</v>
      </c>
      <c r="R161" s="3" t="s">
        <v>1161</v>
      </c>
      <c r="Y161" s="2" t="s">
        <v>1160</v>
      </c>
      <c r="Z161" s="2" t="s">
        <v>1160</v>
      </c>
    </row>
    <row r="162" spans="1:26" s="5" customFormat="1" ht="12" customHeight="1">
      <c r="A162">
        <v>161</v>
      </c>
      <c r="B162" s="5" t="s">
        <v>1249</v>
      </c>
      <c r="C162" s="2" t="s">
        <v>1027</v>
      </c>
      <c r="D162" s="3" t="s">
        <v>1116</v>
      </c>
      <c r="E162" s="5" t="s">
        <v>1129</v>
      </c>
      <c r="F162" s="3" t="s">
        <v>1063</v>
      </c>
      <c r="G162" s="3" t="s">
        <v>1117</v>
      </c>
      <c r="H162" s="3" t="s">
        <v>1117</v>
      </c>
      <c r="L162" s="5" t="s">
        <v>1103</v>
      </c>
      <c r="M162" s="3" t="s">
        <v>1130</v>
      </c>
      <c r="R162" s="3" t="s">
        <v>1130</v>
      </c>
      <c r="Y162" s="2" t="s">
        <v>1027</v>
      </c>
      <c r="Z162" s="2" t="s">
        <v>1027</v>
      </c>
    </row>
    <row r="163" spans="1:26" s="5" customFormat="1" ht="12" customHeight="1">
      <c r="A163">
        <v>162</v>
      </c>
      <c r="B163" s="5" t="s">
        <v>1249</v>
      </c>
      <c r="C163" s="2" t="s">
        <v>1109</v>
      </c>
      <c r="D163" s="3" t="s">
        <v>1128</v>
      </c>
      <c r="E163" s="5" t="s">
        <v>1129</v>
      </c>
      <c r="F163" s="3" t="s">
        <v>1063</v>
      </c>
      <c r="G163" s="3" t="s">
        <v>1001</v>
      </c>
      <c r="H163" s="3" t="s">
        <v>1001</v>
      </c>
      <c r="L163" s="5" t="s">
        <v>1103</v>
      </c>
      <c r="M163" s="3" t="s">
        <v>1131</v>
      </c>
      <c r="R163" s="3" t="s">
        <v>1131</v>
      </c>
      <c r="Y163" s="2" t="s">
        <v>1109</v>
      </c>
      <c r="Z163" s="2" t="s">
        <v>1109</v>
      </c>
    </row>
    <row r="164" spans="1:26" s="5" customFormat="1" ht="12" customHeight="1">
      <c r="A164">
        <v>163</v>
      </c>
      <c r="B164" s="5" t="s">
        <v>1249</v>
      </c>
      <c r="C164" s="5" t="s">
        <v>1083</v>
      </c>
      <c r="E164" s="3" t="s">
        <v>1085</v>
      </c>
      <c r="F164" s="2" t="s">
        <v>1063</v>
      </c>
      <c r="G164" s="2" t="s">
        <v>1008</v>
      </c>
      <c r="H164" s="2" t="s">
        <v>1008</v>
      </c>
      <c r="L164" s="5" t="s">
        <v>1084</v>
      </c>
      <c r="M164" s="3" t="s">
        <v>1086</v>
      </c>
      <c r="R164" s="3" t="s">
        <v>1086</v>
      </c>
      <c r="Y164" s="5" t="s">
        <v>1083</v>
      </c>
      <c r="Z164" s="5" t="s">
        <v>1083</v>
      </c>
    </row>
    <row r="165" spans="1:26" s="7" customFormat="1" ht="12" customHeight="1">
      <c r="A165">
        <v>164</v>
      </c>
      <c r="B165" s="9" t="s">
        <v>1250</v>
      </c>
      <c r="C165" s="7" t="s">
        <v>1184</v>
      </c>
      <c r="E165" s="7" t="s">
        <v>1191</v>
      </c>
      <c r="F165" s="8" t="s">
        <v>1060</v>
      </c>
      <c r="G165" s="9" t="s">
        <v>1173</v>
      </c>
      <c r="H165" s="9" t="s">
        <v>1173</v>
      </c>
      <c r="L165" s="9" t="s">
        <v>1186</v>
      </c>
      <c r="M165" s="7" t="s">
        <v>1185</v>
      </c>
      <c r="R165" s="7" t="s">
        <v>1185</v>
      </c>
    </row>
    <row r="166" spans="1:26" s="7" customFormat="1" ht="12" customHeight="1">
      <c r="A166">
        <v>165</v>
      </c>
      <c r="B166" s="9" t="s">
        <v>1250</v>
      </c>
      <c r="C166" s="7" t="s">
        <v>1187</v>
      </c>
      <c r="E166" s="7" t="s">
        <v>1192</v>
      </c>
      <c r="F166" s="8" t="s">
        <v>1060</v>
      </c>
      <c r="G166" s="9" t="s">
        <v>1173</v>
      </c>
      <c r="H166" s="9" t="s">
        <v>1173</v>
      </c>
      <c r="L166" s="9" t="s">
        <v>1186</v>
      </c>
      <c r="M166" s="7" t="s">
        <v>1188</v>
      </c>
      <c r="R166" s="7" t="s">
        <v>1188</v>
      </c>
    </row>
    <row r="167" spans="1:26" s="7" customFormat="1" ht="12" customHeight="1">
      <c r="A167">
        <v>166</v>
      </c>
      <c r="B167" s="9" t="s">
        <v>1250</v>
      </c>
      <c r="C167" s="7" t="s">
        <v>1189</v>
      </c>
      <c r="E167" s="7" t="s">
        <v>1193</v>
      </c>
      <c r="F167" s="8" t="s">
        <v>1060</v>
      </c>
      <c r="G167" s="9" t="s">
        <v>1173</v>
      </c>
      <c r="H167" s="9" t="s">
        <v>1173</v>
      </c>
      <c r="L167" s="9" t="s">
        <v>1186</v>
      </c>
      <c r="M167" s="7" t="s">
        <v>1190</v>
      </c>
      <c r="R167" s="7" t="s">
        <v>1190</v>
      </c>
    </row>
    <row r="168" spans="1:26" s="7" customFormat="1" ht="12" customHeight="1">
      <c r="A168">
        <v>167</v>
      </c>
      <c r="B168" s="9" t="s">
        <v>1250</v>
      </c>
      <c r="C168" s="7" t="s">
        <v>1195</v>
      </c>
      <c r="E168" s="7" t="s">
        <v>1196</v>
      </c>
      <c r="F168" s="8" t="s">
        <v>1060</v>
      </c>
      <c r="G168" s="10" t="s">
        <v>1002</v>
      </c>
      <c r="H168" s="10" t="s">
        <v>1002</v>
      </c>
      <c r="L168" s="7" t="s">
        <v>1200</v>
      </c>
      <c r="M168" s="7" t="s">
        <v>1197</v>
      </c>
      <c r="R168" s="7" t="s">
        <v>1197</v>
      </c>
    </row>
    <row r="169" spans="1:26" s="7" customFormat="1" ht="12" customHeight="1">
      <c r="A169">
        <v>168</v>
      </c>
      <c r="B169" s="9" t="s">
        <v>1250</v>
      </c>
      <c r="C169" s="7" t="s">
        <v>1198</v>
      </c>
      <c r="E169" s="7" t="s">
        <v>1196</v>
      </c>
      <c r="F169" s="8" t="s">
        <v>1060</v>
      </c>
      <c r="G169" s="10" t="s">
        <v>1002</v>
      </c>
      <c r="H169" s="10" t="s">
        <v>1002</v>
      </c>
      <c r="L169" s="7" t="s">
        <v>1200</v>
      </c>
      <c r="M169" s="7" t="s">
        <v>1199</v>
      </c>
      <c r="R169" s="7" t="s">
        <v>1199</v>
      </c>
    </row>
    <row r="170" spans="1:26" s="7" customFormat="1" ht="12" customHeight="1">
      <c r="A170">
        <v>169</v>
      </c>
      <c r="B170" s="9" t="s">
        <v>1250</v>
      </c>
      <c r="C170" s="9" t="s">
        <v>1201</v>
      </c>
      <c r="E170" s="9" t="s">
        <v>1208</v>
      </c>
      <c r="F170" s="8" t="s">
        <v>1060</v>
      </c>
      <c r="G170" s="9" t="s">
        <v>1194</v>
      </c>
      <c r="H170" s="9" t="s">
        <v>1194</v>
      </c>
      <c r="L170" s="9" t="s">
        <v>1206</v>
      </c>
      <c r="M170" s="7" t="s">
        <v>1203</v>
      </c>
      <c r="R170" s="7" t="s">
        <v>1203</v>
      </c>
    </row>
    <row r="171" spans="1:26" s="7" customFormat="1" ht="12" customHeight="1">
      <c r="A171">
        <v>170</v>
      </c>
      <c r="B171" s="9" t="s">
        <v>1250</v>
      </c>
      <c r="C171" s="7" t="s">
        <v>1204</v>
      </c>
      <c r="E171" s="9" t="s">
        <v>1207</v>
      </c>
      <c r="F171" s="8" t="s">
        <v>1060</v>
      </c>
      <c r="G171" s="9" t="s">
        <v>1194</v>
      </c>
      <c r="H171" s="9" t="s">
        <v>1194</v>
      </c>
      <c r="L171" s="9" t="s">
        <v>1206</v>
      </c>
      <c r="M171" s="7" t="s">
        <v>1202</v>
      </c>
      <c r="R171" s="7" t="s">
        <v>1202</v>
      </c>
    </row>
    <row r="172" spans="1:26" s="7" customFormat="1" ht="12" customHeight="1">
      <c r="A172">
        <v>171</v>
      </c>
      <c r="B172" s="9" t="s">
        <v>1250</v>
      </c>
      <c r="C172" s="9" t="s">
        <v>1212</v>
      </c>
      <c r="E172" s="9" t="s">
        <v>1172</v>
      </c>
      <c r="F172" s="8" t="s">
        <v>1060</v>
      </c>
      <c r="G172" s="8" t="s">
        <v>1241</v>
      </c>
      <c r="H172" s="8" t="s">
        <v>640</v>
      </c>
      <c r="L172" s="7" t="s">
        <v>1217</v>
      </c>
      <c r="M172" s="7" t="s">
        <v>1209</v>
      </c>
      <c r="R172" s="7" t="s">
        <v>1209</v>
      </c>
    </row>
    <row r="173" spans="1:26" s="7" customFormat="1" ht="12" customHeight="1">
      <c r="A173">
        <v>172</v>
      </c>
      <c r="B173" s="9" t="s">
        <v>1250</v>
      </c>
      <c r="C173" s="9" t="s">
        <v>1213</v>
      </c>
      <c r="E173" s="7" t="s">
        <v>1214</v>
      </c>
      <c r="F173" s="8" t="s">
        <v>42</v>
      </c>
      <c r="G173" s="8" t="s">
        <v>1241</v>
      </c>
      <c r="H173" s="8" t="s">
        <v>640</v>
      </c>
      <c r="L173" s="7" t="s">
        <v>1217</v>
      </c>
      <c r="M173" s="7" t="s">
        <v>1210</v>
      </c>
      <c r="R173" s="7" t="s">
        <v>1210</v>
      </c>
    </row>
    <row r="174" spans="1:26" s="7" customFormat="1" ht="12" customHeight="1">
      <c r="A174">
        <v>173</v>
      </c>
      <c r="B174" s="9" t="s">
        <v>1250</v>
      </c>
      <c r="C174" s="9" t="s">
        <v>1215</v>
      </c>
      <c r="E174" s="7" t="s">
        <v>1216</v>
      </c>
      <c r="F174" s="8" t="s">
        <v>42</v>
      </c>
      <c r="G174" s="8" t="s">
        <v>1241</v>
      </c>
      <c r="H174" s="8" t="s">
        <v>640</v>
      </c>
      <c r="L174" s="7" t="s">
        <v>1217</v>
      </c>
      <c r="M174" s="7" t="s">
        <v>1211</v>
      </c>
      <c r="R174" s="7" t="s">
        <v>1211</v>
      </c>
    </row>
    <row r="175" spans="1:26" s="7" customFormat="1" ht="12" customHeight="1">
      <c r="A175">
        <v>174</v>
      </c>
      <c r="B175" s="9" t="s">
        <v>1250</v>
      </c>
      <c r="C175" s="7" t="s">
        <v>1218</v>
      </c>
      <c r="E175" s="7" t="s">
        <v>1219</v>
      </c>
      <c r="F175" s="8" t="s">
        <v>1060</v>
      </c>
      <c r="G175" s="8" t="s">
        <v>1247</v>
      </c>
      <c r="H175" s="8" t="s">
        <v>1000</v>
      </c>
      <c r="L175" s="9" t="s">
        <v>1236</v>
      </c>
      <c r="M175" s="7" t="s">
        <v>1223</v>
      </c>
      <c r="R175" s="7" t="s">
        <v>1223</v>
      </c>
    </row>
    <row r="176" spans="1:26" s="7" customFormat="1" ht="12" customHeight="1">
      <c r="A176">
        <v>175</v>
      </c>
      <c r="B176" s="9" t="s">
        <v>1250</v>
      </c>
      <c r="C176" s="7" t="s">
        <v>1220</v>
      </c>
      <c r="E176" s="7" t="s">
        <v>859</v>
      </c>
      <c r="F176" s="8" t="s">
        <v>42</v>
      </c>
      <c r="G176" s="8" t="s">
        <v>1247</v>
      </c>
      <c r="H176" s="8" t="s">
        <v>1000</v>
      </c>
      <c r="L176" s="9" t="s">
        <v>1235</v>
      </c>
      <c r="M176" s="7" t="s">
        <v>1224</v>
      </c>
      <c r="R176" s="7" t="s">
        <v>1224</v>
      </c>
    </row>
    <row r="177" spans="1:18" s="7" customFormat="1" ht="12" customHeight="1">
      <c r="A177">
        <v>176</v>
      </c>
      <c r="B177" s="9" t="s">
        <v>1250</v>
      </c>
      <c r="C177" s="7" t="s">
        <v>1221</v>
      </c>
      <c r="E177" s="7" t="s">
        <v>1222</v>
      </c>
      <c r="F177" s="8" t="s">
        <v>42</v>
      </c>
      <c r="G177" s="8" t="s">
        <v>1247</v>
      </c>
      <c r="H177" s="8" t="s">
        <v>1000</v>
      </c>
      <c r="L177" s="9" t="s">
        <v>1235</v>
      </c>
      <c r="M177" s="7" t="s">
        <v>1225</v>
      </c>
      <c r="R177" s="7" t="s">
        <v>1225</v>
      </c>
    </row>
    <row r="178" spans="1:18" s="7" customFormat="1" ht="12" customHeight="1">
      <c r="A178">
        <v>177</v>
      </c>
      <c r="B178" s="9" t="s">
        <v>1250</v>
      </c>
      <c r="C178" s="7" t="s">
        <v>1229</v>
      </c>
      <c r="E178" s="7" t="s">
        <v>1232</v>
      </c>
      <c r="F178" s="8" t="s">
        <v>42</v>
      </c>
      <c r="G178" s="8" t="s">
        <v>1247</v>
      </c>
      <c r="H178" s="8" t="s">
        <v>1000</v>
      </c>
      <c r="L178" s="9" t="s">
        <v>1235</v>
      </c>
      <c r="M178" s="7" t="s">
        <v>1226</v>
      </c>
      <c r="R178" s="7" t="s">
        <v>1226</v>
      </c>
    </row>
    <row r="179" spans="1:18" s="7" customFormat="1" ht="12" customHeight="1">
      <c r="A179">
        <v>178</v>
      </c>
      <c r="B179" s="9" t="s">
        <v>1250</v>
      </c>
      <c r="C179" s="7" t="s">
        <v>1230</v>
      </c>
      <c r="E179" s="7" t="s">
        <v>1233</v>
      </c>
      <c r="F179" s="8" t="s">
        <v>42</v>
      </c>
      <c r="G179" s="8" t="s">
        <v>1247</v>
      </c>
      <c r="H179" s="8" t="s">
        <v>1000</v>
      </c>
      <c r="L179" s="9" t="s">
        <v>1236</v>
      </c>
      <c r="M179" s="7" t="s">
        <v>1227</v>
      </c>
      <c r="R179" s="7" t="s">
        <v>1227</v>
      </c>
    </row>
    <row r="180" spans="1:18" s="7" customFormat="1" ht="12" customHeight="1">
      <c r="A180">
        <v>179</v>
      </c>
      <c r="B180" s="9" t="s">
        <v>1250</v>
      </c>
      <c r="C180" s="7" t="s">
        <v>1231</v>
      </c>
      <c r="E180" s="7" t="s">
        <v>1234</v>
      </c>
      <c r="F180" s="8" t="s">
        <v>1060</v>
      </c>
      <c r="G180" s="8" t="s">
        <v>1247</v>
      </c>
      <c r="H180" s="8" t="s">
        <v>1000</v>
      </c>
      <c r="L180" s="9" t="s">
        <v>1236</v>
      </c>
      <c r="M180" s="7" t="s">
        <v>1228</v>
      </c>
      <c r="R180" s="7" t="s">
        <v>1228</v>
      </c>
    </row>
    <row r="181" spans="1:18" s="7" customFormat="1" ht="12" customHeight="1">
      <c r="A181">
        <v>180</v>
      </c>
      <c r="B181" s="9" t="s">
        <v>1250</v>
      </c>
      <c r="C181" s="7" t="s">
        <v>1237</v>
      </c>
      <c r="E181" s="9" t="s">
        <v>1255</v>
      </c>
      <c r="F181" s="8" t="s">
        <v>1060</v>
      </c>
      <c r="G181" s="8" t="s">
        <v>1247</v>
      </c>
      <c r="H181" s="8" t="s">
        <v>1000</v>
      </c>
      <c r="L181" s="7" t="s">
        <v>1217</v>
      </c>
      <c r="M181" s="7" t="s">
        <v>1238</v>
      </c>
      <c r="R181" s="7" t="s">
        <v>1238</v>
      </c>
    </row>
    <row r="182" spans="1:18" s="7" customFormat="1" ht="12" customHeight="1">
      <c r="A182">
        <v>181</v>
      </c>
      <c r="B182" s="9" t="s">
        <v>1250</v>
      </c>
      <c r="C182" s="7" t="s">
        <v>1256</v>
      </c>
      <c r="E182" s="7" t="s">
        <v>1257</v>
      </c>
      <c r="F182" s="9" t="s">
        <v>1258</v>
      </c>
      <c r="G182" s="9" t="s">
        <v>1246</v>
      </c>
      <c r="H182" s="9" t="s">
        <v>1259</v>
      </c>
      <c r="L182" s="9" t="s">
        <v>1260</v>
      </c>
      <c r="M182" s="7" t="s">
        <v>1264</v>
      </c>
      <c r="R182" s="7" t="s">
        <v>1264</v>
      </c>
    </row>
    <row r="183" spans="1:18" s="7" customFormat="1" ht="12" customHeight="1">
      <c r="A183">
        <v>182</v>
      </c>
      <c r="B183" s="9" t="s">
        <v>1250</v>
      </c>
      <c r="C183" s="7" t="s">
        <v>1261</v>
      </c>
      <c r="E183" s="7" t="s">
        <v>1262</v>
      </c>
      <c r="F183" s="8" t="s">
        <v>1258</v>
      </c>
      <c r="G183" s="8" t="s">
        <v>1246</v>
      </c>
      <c r="H183" s="8" t="s">
        <v>859</v>
      </c>
      <c r="L183" s="9" t="s">
        <v>1265</v>
      </c>
      <c r="M183" s="7" t="s">
        <v>1263</v>
      </c>
      <c r="R183" s="7" t="s">
        <v>1263</v>
      </c>
    </row>
    <row r="184" spans="1:18" ht="12" customHeight="1"/>
    <row r="185" spans="1:18" ht="12" customHeight="1"/>
  </sheetData>
  <autoFilter ref="A1:AB183" xr:uid="{00000000-0001-0000-0000-000000000000}">
    <sortState xmlns:xlrd2="http://schemas.microsoft.com/office/spreadsheetml/2017/richdata2" ref="A2:AB181">
      <sortCondition ref="A1:A181"/>
    </sortState>
  </autoFilter>
  <phoneticPr fontId="3"/>
  <hyperlinks>
    <hyperlink ref="L103" r:id="rId1" xr:uid="{00000000-0004-0000-0000-000000000000}"/>
    <hyperlink ref="L104" r:id="rId2" xr:uid="{00000000-0004-0000-0000-000001000000}"/>
    <hyperlink ref="L105" r:id="rId3" xr:uid="{00000000-0004-0000-0000-000002000000}"/>
    <hyperlink ref="L106" r:id="rId4" xr:uid="{00000000-0004-0000-0000-000003000000}"/>
    <hyperlink ref="L107" r:id="rId5" xr:uid="{00000000-0004-0000-0000-000004000000}"/>
    <hyperlink ref="L108" r:id="rId6" xr:uid="{00000000-0004-0000-0000-000005000000}"/>
    <hyperlink ref="L109" r:id="rId7" xr:uid="{00000000-0004-0000-0000-000006000000}"/>
    <hyperlink ref="L110" r:id="rId8" xr:uid="{00000000-0004-0000-0000-000007000000}"/>
    <hyperlink ref="L111" r:id="rId9" xr:uid="{00000000-0004-0000-0000-000008000000}"/>
    <hyperlink ref="L112" r:id="rId10" xr:uid="{00000000-0004-0000-0000-000009000000}"/>
    <hyperlink ref="L113" r:id="rId11" xr:uid="{00000000-0004-0000-0000-00000A000000}"/>
    <hyperlink ref="L114" r:id="rId12" xr:uid="{00000000-0004-0000-0000-00000B000000}"/>
    <hyperlink ref="L115" r:id="rId13" xr:uid="{00000000-0004-0000-0000-00000C000000}"/>
    <hyperlink ref="L116" r:id="rId14" xr:uid="{00000000-0004-0000-0000-00000D000000}"/>
    <hyperlink ref="L117" r:id="rId15" xr:uid="{00000000-0004-0000-0000-00000E000000}"/>
    <hyperlink ref="L118" r:id="rId16" xr:uid="{00000000-0004-0000-0000-00000F000000}"/>
    <hyperlink ref="L119" r:id="rId17" xr:uid="{00000000-0004-0000-0000-000010000000}"/>
    <hyperlink ref="L120" r:id="rId18" xr:uid="{00000000-0004-0000-0000-000011000000}"/>
    <hyperlink ref="L121" r:id="rId19" xr:uid="{00000000-0004-0000-0000-000012000000}"/>
    <hyperlink ref="L122" r:id="rId20" xr:uid="{00000000-0004-0000-0000-000013000000}"/>
    <hyperlink ref="L123" r:id="rId21" xr:uid="{00000000-0004-0000-0000-000014000000}"/>
    <hyperlink ref="L124" r:id="rId22" xr:uid="{00000000-0004-0000-0000-000015000000}"/>
    <hyperlink ref="L125" r:id="rId23" xr:uid="{00000000-0004-0000-0000-000016000000}"/>
    <hyperlink ref="L126" r:id="rId24" xr:uid="{00000000-0004-0000-0000-00001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010C-092C-4474-9E4A-E39DFE5B1FDF}">
  <dimension ref="B2:I16"/>
  <sheetViews>
    <sheetView workbookViewId="0">
      <selection activeCell="M12" sqref="M12"/>
    </sheetView>
  </sheetViews>
  <sheetFormatPr defaultRowHeight="12.5"/>
  <cols>
    <col min="2" max="2" width="10" customWidth="1"/>
    <col min="8" max="8" width="26.90625" customWidth="1"/>
  </cols>
  <sheetData>
    <row r="2" spans="2:9">
      <c r="B2" s="11" t="s">
        <v>1251</v>
      </c>
      <c r="C2">
        <f>COUNTIF(mo_exp_identity_UTedited6!B2:B982,"include")</f>
        <v>149</v>
      </c>
      <c r="E2" t="s">
        <v>92</v>
      </c>
      <c r="F2">
        <f>COUNTIFS(mo_exp_identity_UTedited6!$B$2:$B$982,"include",mo_exp_identity_UTedited6!$F$2:$F$982,E2)</f>
        <v>25</v>
      </c>
      <c r="H2" t="s">
        <v>1242</v>
      </c>
      <c r="I2">
        <f>COUNTIFS(mo_exp_identity_UTedited6!$B$2:$B$982,"include",mo_exp_identity_UTedited6!$G$2:$G$982,H2)</f>
        <v>19</v>
      </c>
    </row>
    <row r="3" spans="2:9">
      <c r="E3" t="s">
        <v>28</v>
      </c>
      <c r="F3">
        <f>COUNTIFS(mo_exp_identity_UTedited6!$B$2:$B$982,"include",mo_exp_identity_UTedited6!$F$2:$F$982,E3)</f>
        <v>45</v>
      </c>
      <c r="H3" t="s">
        <v>1240</v>
      </c>
      <c r="I3">
        <f>COUNTIFS(mo_exp_identity_UTedited6!$B$2:$B$982,"include",mo_exp_identity_UTedited6!$G$2:$G$982,H3)</f>
        <v>30</v>
      </c>
    </row>
    <row r="4" spans="2:9">
      <c r="E4" t="s">
        <v>42</v>
      </c>
      <c r="F4">
        <f>COUNTIFS(mo_exp_identity_UTedited6!$B$2:$B$982,"include",mo_exp_identity_UTedited6!$F$2:$F$982,E4)</f>
        <v>69</v>
      </c>
      <c r="H4" t="s">
        <v>1245</v>
      </c>
      <c r="I4">
        <f>COUNTIFS(mo_exp_identity_UTedited6!$B$2:$B$982,"include",mo_exp_identity_UTedited6!$G$2:$G$982,H4)</f>
        <v>7</v>
      </c>
    </row>
    <row r="5" spans="2:9">
      <c r="E5" t="s">
        <v>429</v>
      </c>
      <c r="F5">
        <f>COUNTIFS(mo_exp_identity_UTedited6!$B$2:$B$982,"include",mo_exp_identity_UTedited6!$F$2:$F$982,E5)</f>
        <v>5</v>
      </c>
      <c r="H5" t="s">
        <v>110</v>
      </c>
      <c r="I5">
        <f>COUNTIFS(mo_exp_identity_UTedited6!$B$2:$B$982,"include",mo_exp_identity_UTedited6!$G$2:$G$982,H5)</f>
        <v>12</v>
      </c>
    </row>
    <row r="6" spans="2:9">
      <c r="E6" s="11" t="s">
        <v>1252</v>
      </c>
      <c r="F6">
        <f>COUNTIFS(mo_exp_identity_UTedited6!$B$2:$B$982,"include",mo_exp_identity_UTedited6!$F$2:$F$982,E6)</f>
        <v>5</v>
      </c>
      <c r="H6" t="s">
        <v>613</v>
      </c>
      <c r="I6">
        <f>COUNTIFS(mo_exp_identity_UTedited6!$B$2:$B$982,"include",mo_exp_identity_UTedited6!$G$2:$G$982,H6)</f>
        <v>8</v>
      </c>
    </row>
    <row r="7" spans="2:9">
      <c r="F7">
        <f>SUM(F2:F6)</f>
        <v>149</v>
      </c>
      <c r="H7" t="s">
        <v>782</v>
      </c>
      <c r="I7">
        <f>COUNTIFS(mo_exp_identity_UTedited6!$B$2:$B$982,"include",mo_exp_identity_UTedited6!$G$2:$G$982,H7)</f>
        <v>1</v>
      </c>
    </row>
    <row r="8" spans="2:9">
      <c r="H8" t="s">
        <v>29</v>
      </c>
      <c r="I8">
        <f>COUNTIFS(mo_exp_identity_UTedited6!$B$2:$B$982,"include",mo_exp_identity_UTedited6!$G$2:$G$982,H8)</f>
        <v>33</v>
      </c>
    </row>
    <row r="9" spans="2:9">
      <c r="H9" t="s">
        <v>585</v>
      </c>
      <c r="I9">
        <f>COUNTIFS(mo_exp_identity_UTedited6!$B$2:$B$982,"include",mo_exp_identity_UTedited6!$G$2:$G$982,H9)</f>
        <v>6</v>
      </c>
    </row>
    <row r="10" spans="2:9">
      <c r="H10" t="s">
        <v>1254</v>
      </c>
      <c r="I10">
        <f>COUNTIFS(mo_exp_identity_UTedited6!$B$2:$B$982,"include",mo_exp_identity_UTedited6!$G$2:$G$982,H10)</f>
        <v>8</v>
      </c>
    </row>
    <row r="11" spans="2:9">
      <c r="H11" t="s">
        <v>1100</v>
      </c>
      <c r="I11">
        <f>COUNTIFS(mo_exp_identity_UTedited6!$B$2:$B$982,"include",mo_exp_identity_UTedited6!$G$2:$G$982,H11)</f>
        <v>3</v>
      </c>
    </row>
    <row r="12" spans="2:9">
      <c r="H12" t="s">
        <v>823</v>
      </c>
      <c r="I12">
        <f>COUNTIFS(mo_exp_identity_UTedited6!$B$2:$B$982,"include",mo_exp_identity_UTedited6!$G$2:$G$982,H12)</f>
        <v>5</v>
      </c>
    </row>
    <row r="13" spans="2:9">
      <c r="H13" t="s">
        <v>811</v>
      </c>
      <c r="I13">
        <f>COUNTIFS(mo_exp_identity_UTedited6!$B$2:$B$982,"include",mo_exp_identity_UTedited6!$G$2:$G$982,H13)</f>
        <v>4</v>
      </c>
    </row>
    <row r="14" spans="2:9">
      <c r="H14" t="s">
        <v>789</v>
      </c>
      <c r="I14">
        <f>COUNTIFS(mo_exp_identity_UTedited6!$B$2:$B$982,"include",mo_exp_identity_UTedited6!$G$2:$G$982,H14)</f>
        <v>8</v>
      </c>
    </row>
    <row r="15" spans="2:9">
      <c r="H15" t="s">
        <v>859</v>
      </c>
      <c r="I15">
        <f>COUNTIFS(mo_exp_identity_UTedited6!$B$2:$B$982,"include",mo_exp_identity_UTedited6!$G$2:$G$982,H15)</f>
        <v>5</v>
      </c>
    </row>
    <row r="16" spans="2:9">
      <c r="I16">
        <f>SUM(I2:I15)</f>
        <v>149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Excluded</vt:lpstr>
      <vt:lpstr>mo_exp_identity_UTedited6</vt:lpstr>
      <vt:lpstr>statics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 Hidber</dc:creator>
  <cp:lastModifiedBy>Flurin Hidber</cp:lastModifiedBy>
  <dcterms:created xsi:type="dcterms:W3CDTF">2025-02-26T07:20:42Z</dcterms:created>
  <dcterms:modified xsi:type="dcterms:W3CDTF">2025-04-23T14:24:42Z</dcterms:modified>
</cp:coreProperties>
</file>